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E:\QA-Project\QA-project-tool\Docs\report\"/>
    </mc:Choice>
  </mc:AlternateContent>
  <xr:revisionPtr revIDLastSave="0" documentId="13_ncr:1_{3539A87F-D063-47CA-9A59-8F5C9C2FFA7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Release#1" sheetId="1" r:id="rId1"/>
    <sheet name="Release#2" sheetId="2" r:id="rId2"/>
    <sheet name="Release#3" sheetId="4" r:id="rId3"/>
    <sheet name="Release#4" sheetId="3" r:id="rId4"/>
    <sheet name="Release#5" sheetId="5" r:id="rId5"/>
  </sheet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3Ua4wsPVU2+OjJeWbmtYzx5bg+lUiDntYAmcCMaFM74="/>
    </ext>
  </extLst>
</workbook>
</file>

<file path=xl/calcChain.xml><?xml version="1.0" encoding="utf-8"?>
<calcChain xmlns="http://schemas.openxmlformats.org/spreadsheetml/2006/main">
  <c r="Q68" i="5" l="1"/>
  <c r="O68" i="5"/>
  <c r="Q67" i="5"/>
  <c r="O67" i="5"/>
  <c r="Q66" i="5"/>
  <c r="O66" i="5"/>
  <c r="Q65" i="5"/>
  <c r="O65" i="5"/>
  <c r="Q64" i="5"/>
  <c r="O64" i="5"/>
  <c r="Q63" i="5"/>
  <c r="O63" i="5"/>
  <c r="Q62" i="5"/>
  <c r="O62" i="5"/>
  <c r="Q61" i="5"/>
  <c r="O61" i="5"/>
  <c r="Q60" i="5"/>
  <c r="O60" i="5"/>
  <c r="Q59" i="5"/>
  <c r="O59" i="5"/>
  <c r="Q58" i="5"/>
  <c r="O58" i="5"/>
  <c r="Q57" i="5"/>
  <c r="O57" i="5"/>
  <c r="Q56" i="5"/>
  <c r="O56" i="5"/>
  <c r="Q55" i="5"/>
  <c r="O55" i="5"/>
  <c r="Q54" i="5"/>
  <c r="O54" i="5"/>
  <c r="Q53" i="5"/>
  <c r="O53" i="5"/>
  <c r="Q52" i="5"/>
  <c r="O52" i="5"/>
  <c r="Q51" i="5"/>
  <c r="O51" i="5"/>
  <c r="Q50" i="5"/>
  <c r="O50" i="5"/>
  <c r="Q49" i="5"/>
  <c r="O49" i="5"/>
  <c r="Q48" i="5"/>
  <c r="O48" i="5"/>
  <c r="R48" i="5" s="1"/>
  <c r="Q47" i="5"/>
  <c r="O47" i="5"/>
  <c r="Q46" i="5"/>
  <c r="O46" i="5"/>
  <c r="Q45" i="5"/>
  <c r="O45" i="5"/>
  <c r="Q44" i="5"/>
  <c r="O44" i="5"/>
  <c r="Q43" i="5"/>
  <c r="O43" i="5"/>
  <c r="M37" i="5"/>
  <c r="L37" i="5"/>
  <c r="R48" i="3"/>
  <c r="O68" i="3"/>
  <c r="Q68" i="3"/>
  <c r="Q71" i="4"/>
  <c r="O71" i="4"/>
  <c r="Q70" i="4"/>
  <c r="O70" i="4"/>
  <c r="Q69" i="4"/>
  <c r="O69" i="4"/>
  <c r="Q68" i="4"/>
  <c r="O68" i="4"/>
  <c r="Q67" i="4"/>
  <c r="O67" i="4"/>
  <c r="R67" i="4" s="1"/>
  <c r="Q66" i="4"/>
  <c r="O66" i="4"/>
  <c r="Q65" i="4"/>
  <c r="O65" i="4"/>
  <c r="Q64" i="4"/>
  <c r="O64" i="4"/>
  <c r="Q63" i="4"/>
  <c r="O63" i="4"/>
  <c r="Q62" i="4"/>
  <c r="O62" i="4"/>
  <c r="R62" i="4" s="1"/>
  <c r="Q61" i="4"/>
  <c r="O61" i="4"/>
  <c r="Q60" i="4"/>
  <c r="O60" i="4"/>
  <c r="Q59" i="4"/>
  <c r="O59" i="4"/>
  <c r="Q58" i="4"/>
  <c r="O58" i="4"/>
  <c r="Q57" i="4"/>
  <c r="O57" i="4"/>
  <c r="Q56" i="4"/>
  <c r="O56" i="4"/>
  <c r="Q55" i="4"/>
  <c r="O55" i="4"/>
  <c r="Q54" i="4"/>
  <c r="O54" i="4"/>
  <c r="R54" i="4" s="1"/>
  <c r="Q53" i="4"/>
  <c r="O53" i="4"/>
  <c r="R53" i="4" s="1"/>
  <c r="Q52" i="4"/>
  <c r="O52" i="4"/>
  <c r="Q51" i="4"/>
  <c r="O51" i="4"/>
  <c r="R51" i="4" s="1"/>
  <c r="Q50" i="4"/>
  <c r="O50" i="4"/>
  <c r="Q49" i="4"/>
  <c r="O49" i="4"/>
  <c r="Q48" i="4"/>
  <c r="O48" i="4"/>
  <c r="Q47" i="4"/>
  <c r="O47" i="4"/>
  <c r="Q46" i="4"/>
  <c r="O46" i="4"/>
  <c r="Q45" i="4"/>
  <c r="O45" i="4"/>
  <c r="Q44" i="4"/>
  <c r="O44" i="4"/>
  <c r="R43" i="4"/>
  <c r="Q43" i="4"/>
  <c r="O43" i="4"/>
  <c r="M37" i="4"/>
  <c r="L37" i="4"/>
  <c r="C2" i="4"/>
  <c r="L37" i="3"/>
  <c r="M37" i="3"/>
  <c r="O43" i="3"/>
  <c r="Q43" i="3"/>
  <c r="O44" i="3"/>
  <c r="Q44" i="3"/>
  <c r="O45" i="3"/>
  <c r="Q45" i="3"/>
  <c r="O46" i="3"/>
  <c r="Q46" i="3"/>
  <c r="O47" i="3"/>
  <c r="Q47" i="3"/>
  <c r="O48" i="3"/>
  <c r="Q48" i="3"/>
  <c r="O49" i="3"/>
  <c r="Q49" i="3"/>
  <c r="O50" i="3"/>
  <c r="Q50" i="3"/>
  <c r="O51" i="3"/>
  <c r="Q51" i="3"/>
  <c r="O52" i="3"/>
  <c r="Q52" i="3"/>
  <c r="O53" i="3"/>
  <c r="Q53" i="3"/>
  <c r="O54" i="3"/>
  <c r="Q54" i="3"/>
  <c r="O55" i="3"/>
  <c r="Q55" i="3"/>
  <c r="O56" i="3"/>
  <c r="Q56" i="3"/>
  <c r="O57" i="3"/>
  <c r="Q57" i="3"/>
  <c r="O58" i="3"/>
  <c r="Q58" i="3"/>
  <c r="O59" i="3"/>
  <c r="Q59" i="3"/>
  <c r="O60" i="3"/>
  <c r="Q60" i="3"/>
  <c r="O61" i="3"/>
  <c r="Q61" i="3"/>
  <c r="O62" i="3"/>
  <c r="Q62" i="3"/>
  <c r="O63" i="3"/>
  <c r="Q63" i="3"/>
  <c r="O64" i="3"/>
  <c r="Q64" i="3"/>
  <c r="O65" i="3"/>
  <c r="Q65" i="3"/>
  <c r="O66" i="3"/>
  <c r="Q66" i="3"/>
  <c r="O67" i="3"/>
  <c r="Q67" i="3"/>
  <c r="R43" i="5" l="1"/>
  <c r="R69" i="5" s="1"/>
  <c r="R64" i="5"/>
  <c r="R64" i="3"/>
  <c r="R43" i="3"/>
  <c r="R72" i="4"/>
  <c r="B2" i="4"/>
  <c r="B3" i="4" s="1"/>
  <c r="B4" i="4" s="1"/>
  <c r="B5" i="4" s="1"/>
  <c r="B6" i="4" s="1"/>
  <c r="B7" i="4" s="1"/>
  <c r="R69" i="3" l="1"/>
</calcChain>
</file>

<file path=xl/sharedStrings.xml><?xml version="1.0" encoding="utf-8"?>
<sst xmlns="http://schemas.openxmlformats.org/spreadsheetml/2006/main" count="394" uniqueCount="128">
  <si>
    <t>Day</t>
  </si>
  <si>
    <t>Planned</t>
  </si>
  <si>
    <t>Consumed</t>
  </si>
  <si>
    <t>Team Availability</t>
  </si>
  <si>
    <t>Deliverable</t>
  </si>
  <si>
    <t>% Completed</t>
  </si>
  <si>
    <t>Comments</t>
  </si>
  <si>
    <t>CRS</t>
  </si>
  <si>
    <t>SIQ</t>
  </si>
  <si>
    <t>PMP</t>
  </si>
  <si>
    <t>Risk sheet</t>
  </si>
  <si>
    <t>SRS</t>
  </si>
  <si>
    <t>CMP</t>
  </si>
  <si>
    <t>Risks</t>
  </si>
  <si>
    <t>ID</t>
  </si>
  <si>
    <t>Topic</t>
  </si>
  <si>
    <t>Probability</t>
  </si>
  <si>
    <t>Impact</t>
  </si>
  <si>
    <t>Description</t>
  </si>
  <si>
    <t>Handling</t>
  </si>
  <si>
    <t>Actions</t>
  </si>
  <si>
    <t>Risk_001</t>
  </si>
  <si>
    <t xml:space="preserve">Lack of experience </t>
  </si>
  <si>
    <t>Not all team have computer engineering background which might reduce output efficiency and quality</t>
  </si>
  <si>
    <t>Avoid</t>
  </si>
  <si>
    <t>Prioritize crash courses and training sessions for the team</t>
  </si>
  <si>
    <t>Risk_002</t>
  </si>
  <si>
    <t>Team communication issues</t>
  </si>
  <si>
    <t>Team memebers might face internet connection issues as most of the work and meetings will be done online</t>
  </si>
  <si>
    <t>Mitigate</t>
  </si>
  <si>
    <t>Team can utilize coworking spaces for internet connection or ensure all team members have stable internet connection</t>
  </si>
  <si>
    <t>Risk_003</t>
  </si>
  <si>
    <t>Tools knowledge risks</t>
  </si>
  <si>
    <t>Not all team members have used tools important for the project such as jira,github and other technical tools</t>
  </si>
  <si>
    <t>Sharing knowledge among team members and take courses if necessary</t>
  </si>
  <si>
    <t>Risk_004</t>
  </si>
  <si>
    <t>Tools licence risks</t>
  </si>
  <si>
    <t>Some important tools might need licence to use which might delay work quality</t>
  </si>
  <si>
    <t xml:space="preserve">Use alternative high quality free tools available </t>
  </si>
  <si>
    <t>Risk_005</t>
  </si>
  <si>
    <t>Members availability</t>
  </si>
  <si>
    <t>Team memebers might not be available due to sickness or personal issues</t>
  </si>
  <si>
    <t>Team members should know each other's task progress and ensure work transparency and have alternative plans to compensate for other members being unavailable</t>
  </si>
  <si>
    <t>Risk_006</t>
  </si>
  <si>
    <t>Customer communication risks</t>
  </si>
  <si>
    <t>Customer meets with team members only once a week which affects constant feedback and consultation</t>
  </si>
  <si>
    <t>Accept</t>
  </si>
  <si>
    <t>Before each sprint, team members should have all questions ready and after the sprint all questions should be answered</t>
  </si>
  <si>
    <t>Risk_007</t>
  </si>
  <si>
    <t>Technical debt risks</t>
  </si>
  <si>
    <t>taking the easy way during SDLC might cause increase in rework cost</t>
  </si>
  <si>
    <t>Conduct rigorous peer reviews and ensure each step is done efficiently before moving to the next step</t>
  </si>
  <si>
    <t>Issues</t>
  </si>
  <si>
    <t>Initiator</t>
  </si>
  <si>
    <t>Issue_001</t>
  </si>
  <si>
    <t>Exams and other cources</t>
  </si>
  <si>
    <t>Team is commited to projects,exams and other courses</t>
  </si>
  <si>
    <t>Distribute tasks among teams based on previous technical backgrounds to increase productivity and conduct daily meetings to monitor progress</t>
  </si>
  <si>
    <t>Testcase draft</t>
  </si>
  <si>
    <t>RTM</t>
  </si>
  <si>
    <t>team have exams</t>
  </si>
  <si>
    <t>Team is commited to exams</t>
  </si>
  <si>
    <t xml:space="preserve">working over time on days after exams </t>
  </si>
  <si>
    <t>Sum</t>
  </si>
  <si>
    <t>Testcase v2 review</t>
  </si>
  <si>
    <t>Testcase 4</t>
  </si>
  <si>
    <t>Testcase 3</t>
  </si>
  <si>
    <t>Testcase 2</t>
  </si>
  <si>
    <t>Testcase 1</t>
  </si>
  <si>
    <t xml:space="preserve">SRS v2 review </t>
  </si>
  <si>
    <t>SRS 4</t>
  </si>
  <si>
    <t>SRS 3</t>
  </si>
  <si>
    <t>SRS 2</t>
  </si>
  <si>
    <t>SRS 1</t>
  </si>
  <si>
    <t>review Siq 4</t>
  </si>
  <si>
    <t>review Siq 3</t>
  </si>
  <si>
    <t>review Siq 2</t>
  </si>
  <si>
    <t>review Siq 1</t>
  </si>
  <si>
    <t>update Siq 4</t>
  </si>
  <si>
    <t>update Siq 3</t>
  </si>
  <si>
    <t>update Siq 2</t>
  </si>
  <si>
    <t>update Siq 1</t>
  </si>
  <si>
    <t>Update wireframe</t>
  </si>
  <si>
    <t>learning _sequence diagram B</t>
  </si>
  <si>
    <t>learning _sequence diagram A</t>
  </si>
  <si>
    <t>FlowChart B</t>
  </si>
  <si>
    <t>FlowChart A</t>
  </si>
  <si>
    <t>testcase review</t>
  </si>
  <si>
    <t>SRS Review</t>
  </si>
  <si>
    <t>Testcase_  Admin Login</t>
  </si>
  <si>
    <t>Testcase_ Passenger Details</t>
  </si>
  <si>
    <t>Testcase_ Flight Results</t>
  </si>
  <si>
    <t>sprintPlan</t>
  </si>
  <si>
    <t>Total</t>
  </si>
  <si>
    <t>Comment</t>
  </si>
  <si>
    <t>Iteam</t>
  </si>
  <si>
    <t xml:space="preserve"> </t>
  </si>
  <si>
    <t>nabil</t>
  </si>
  <si>
    <t xml:space="preserve">reviewing and update all work products from previous itirations </t>
  </si>
  <si>
    <t>Stablization itiration due to lingring issues on main documents of previos releases</t>
  </si>
  <si>
    <t>zahraan</t>
  </si>
  <si>
    <t>alaaa</t>
  </si>
  <si>
    <t>abdalrahman</t>
  </si>
  <si>
    <t>alhussin</t>
  </si>
  <si>
    <t>Grand Total</t>
  </si>
  <si>
    <t>Boda</t>
  </si>
  <si>
    <r>
      <t xml:space="preserve">FlowChart </t>
    </r>
    <r>
      <rPr>
        <b/>
        <sz val="10"/>
        <color theme="1"/>
        <rFont val="Arial"/>
        <family val="2"/>
      </rPr>
      <t>B</t>
    </r>
  </si>
  <si>
    <t>Sum of Done</t>
  </si>
  <si>
    <t>Sum of Hours</t>
  </si>
  <si>
    <t/>
  </si>
  <si>
    <t>Done</t>
  </si>
  <si>
    <t>Hours</t>
  </si>
  <si>
    <t>javaScript learning1</t>
  </si>
  <si>
    <t>javaScript learning2</t>
  </si>
  <si>
    <t>javaScript learning3</t>
  </si>
  <si>
    <t>javaScript learning4</t>
  </si>
  <si>
    <t>javaScript learning5</t>
  </si>
  <si>
    <t>css/html learning 1</t>
  </si>
  <si>
    <t>css/html learning 2</t>
  </si>
  <si>
    <t>nodeJs/ExpressJS learning1</t>
  </si>
  <si>
    <t>nodeJs/ExpressJS learning2</t>
  </si>
  <si>
    <t>frontend development 1</t>
  </si>
  <si>
    <t>frontend development 2</t>
  </si>
  <si>
    <t>lack of team members due to illnes</t>
  </si>
  <si>
    <t>backend development1</t>
  </si>
  <si>
    <t>backend development2</t>
  </si>
  <si>
    <t>continue front development 1</t>
  </si>
  <si>
    <t>continue front development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</si>
</sst>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sz val="10"/>
      <color theme="1"/>
      <name val="Arial"/>
    </font>
    <font>
      <sz val="10"/>
      <color rgb="FF000000"/>
      <name val="Arial"/>
    </font>
    <font>
      <sz val="10"/>
      <name val="Arial"/>
    </font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FFFFFF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7AD592"/>
        <bgColor rgb="FF7AD592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</borders>
  <cellStyleXfs count="2">
    <xf numFmtId="0" fontId="0" fillId="0" borderId="0"/>
    <xf numFmtId="0" fontId="6" fillId="0" borderId="8"/>
  </cellStyleXfs>
  <cellXfs count="109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wrapText="1"/>
    </xf>
    <xf numFmtId="9" fontId="3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5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 applyAlignment="1">
      <alignment wrapText="1"/>
    </xf>
    <xf numFmtId="2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9" fontId="3" fillId="0" borderId="3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0" fillId="0" borderId="8" xfId="1" applyFont="1"/>
    <xf numFmtId="0" fontId="7" fillId="0" borderId="8" xfId="1" applyFont="1" applyAlignment="1">
      <alignment horizontal="center"/>
    </xf>
    <xf numFmtId="0" fontId="8" fillId="0" borderId="3" xfId="1" applyFont="1" applyBorder="1" applyAlignment="1">
      <alignment horizontal="center" vertical="center"/>
    </xf>
    <xf numFmtId="0" fontId="9" fillId="2" borderId="3" xfId="1" applyFont="1" applyFill="1" applyBorder="1" applyAlignment="1">
      <alignment horizontal="center"/>
    </xf>
    <xf numFmtId="0" fontId="8" fillId="0" borderId="3" xfId="1" applyFont="1" applyBorder="1" applyAlignment="1">
      <alignment vertical="center" wrapText="1"/>
    </xf>
    <xf numFmtId="0" fontId="8" fillId="0" borderId="3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0" fontId="11" fillId="2" borderId="12" xfId="1" applyFont="1" applyFill="1" applyBorder="1" applyAlignment="1">
      <alignment horizontal="center" vertical="center" wrapText="1"/>
    </xf>
    <xf numFmtId="0" fontId="8" fillId="0" borderId="14" xfId="1" applyFont="1" applyBorder="1" applyAlignment="1">
      <alignment vertical="center" wrapText="1"/>
    </xf>
    <xf numFmtId="0" fontId="7" fillId="0" borderId="3" xfId="1" applyFont="1" applyBorder="1" applyAlignment="1">
      <alignment horizontal="left" vertical="center"/>
    </xf>
    <xf numFmtId="0" fontId="9" fillId="2" borderId="15" xfId="1" applyFont="1" applyFill="1" applyBorder="1" applyAlignment="1">
      <alignment horizontal="center" wrapText="1"/>
    </xf>
    <xf numFmtId="0" fontId="9" fillId="2" borderId="3" xfId="1" applyFont="1" applyFill="1" applyBorder="1" applyAlignment="1">
      <alignment horizontal="center" wrapText="1"/>
    </xf>
    <xf numFmtId="0" fontId="7" fillId="0" borderId="3" xfId="1" applyFont="1" applyBorder="1" applyAlignment="1">
      <alignment horizontal="center"/>
    </xf>
    <xf numFmtId="0" fontId="7" fillId="4" borderId="3" xfId="1" applyFont="1" applyFill="1" applyBorder="1" applyAlignment="1">
      <alignment horizontal="center" vertical="center"/>
    </xf>
    <xf numFmtId="9" fontId="7" fillId="4" borderId="3" xfId="1" applyNumberFormat="1" applyFont="1" applyFill="1" applyBorder="1" applyAlignment="1">
      <alignment horizontal="center" vertical="center"/>
    </xf>
    <xf numFmtId="0" fontId="7" fillId="4" borderId="3" xfId="1" applyFont="1" applyFill="1" applyBorder="1" applyAlignment="1">
      <alignment horizontal="left" vertical="center"/>
    </xf>
    <xf numFmtId="0" fontId="7" fillId="0" borderId="3" xfId="1" applyFont="1" applyBorder="1" applyAlignment="1">
      <alignment horizontal="left"/>
    </xf>
    <xf numFmtId="0" fontId="7" fillId="0" borderId="9" xfId="1" applyFont="1" applyBorder="1" applyAlignment="1">
      <alignment horizontal="center"/>
    </xf>
    <xf numFmtId="0" fontId="8" fillId="4" borderId="3" xfId="1" applyFont="1" applyFill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9" xfId="1" applyFont="1" applyBorder="1" applyAlignment="1">
      <alignment horizontal="left" vertical="center"/>
    </xf>
    <xf numFmtId="9" fontId="7" fillId="4" borderId="3" xfId="1" applyNumberFormat="1" applyFont="1" applyFill="1" applyBorder="1" applyAlignment="1">
      <alignment horizontal="center"/>
    </xf>
    <xf numFmtId="0" fontId="8" fillId="0" borderId="3" xfId="1" applyFont="1" applyBorder="1" applyAlignment="1">
      <alignment horizontal="left" vertical="center"/>
    </xf>
    <xf numFmtId="0" fontId="7" fillId="0" borderId="19" xfId="1" applyFont="1" applyBorder="1" applyAlignment="1">
      <alignment horizontal="center" vertical="center"/>
    </xf>
    <xf numFmtId="0" fontId="8" fillId="0" borderId="3" xfId="1" applyFont="1" applyBorder="1" applyAlignment="1">
      <alignment wrapText="1"/>
    </xf>
    <xf numFmtId="0" fontId="7" fillId="0" borderId="10" xfId="1" applyFont="1" applyBorder="1" applyAlignment="1">
      <alignment horizontal="center"/>
    </xf>
    <xf numFmtId="0" fontId="7" fillId="0" borderId="17" xfId="1" applyFont="1" applyBorder="1" applyAlignment="1">
      <alignment horizontal="center" vertical="center"/>
    </xf>
    <xf numFmtId="0" fontId="8" fillId="0" borderId="9" xfId="1" applyFont="1" applyBorder="1" applyAlignment="1">
      <alignment wrapText="1"/>
    </xf>
    <xf numFmtId="0" fontId="7" fillId="0" borderId="9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7" fillId="3" borderId="3" xfId="1" applyFont="1" applyFill="1" applyBorder="1"/>
    <xf numFmtId="0" fontId="7" fillId="3" borderId="3" xfId="1" applyFont="1" applyFill="1" applyBorder="1" applyAlignment="1">
      <alignment horizontal="center"/>
    </xf>
    <xf numFmtId="0" fontId="7" fillId="3" borderId="8" xfId="1" applyFont="1" applyFill="1" applyAlignment="1">
      <alignment horizontal="center"/>
    </xf>
    <xf numFmtId="0" fontId="12" fillId="0" borderId="3" xfId="1" applyFont="1" applyBorder="1" applyAlignment="1">
      <alignment horizontal="left" vertical="center"/>
    </xf>
    <xf numFmtId="0" fontId="7" fillId="0" borderId="18" xfId="1" applyFont="1" applyBorder="1" applyAlignment="1">
      <alignment horizontal="center"/>
    </xf>
    <xf numFmtId="0" fontId="7" fillId="0" borderId="17" xfId="1" applyFont="1" applyBorder="1" applyAlignment="1">
      <alignment horizontal="center"/>
    </xf>
    <xf numFmtId="0" fontId="7" fillId="3" borderId="3" xfId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vertical="center"/>
    </xf>
    <xf numFmtId="0" fontId="0" fillId="0" borderId="21" xfId="1" applyFont="1" applyBorder="1"/>
    <xf numFmtId="0" fontId="0" fillId="0" borderId="22" xfId="1" applyFont="1" applyBorder="1"/>
    <xf numFmtId="0" fontId="0" fillId="0" borderId="23" xfId="1" applyFont="1" applyBorder="1"/>
    <xf numFmtId="0" fontId="0" fillId="0" borderId="24" xfId="1" applyFont="1" applyBorder="1"/>
    <xf numFmtId="0" fontId="8" fillId="0" borderId="18" xfId="1" applyFont="1" applyBorder="1" applyAlignment="1">
      <alignment horizontal="center" wrapText="1"/>
    </xf>
    <xf numFmtId="0" fontId="11" fillId="2" borderId="8" xfId="1" applyFont="1" applyFill="1" applyAlignment="1">
      <alignment horizontal="center"/>
    </xf>
    <xf numFmtId="0" fontId="0" fillId="0" borderId="25" xfId="1" applyFont="1" applyBorder="1"/>
    <xf numFmtId="0" fontId="0" fillId="0" borderId="26" xfId="1" applyFont="1" applyBorder="1"/>
    <xf numFmtId="0" fontId="8" fillId="0" borderId="8" xfId="1" applyFont="1"/>
    <xf numFmtId="0" fontId="0" fillId="0" borderId="27" xfId="1" applyFont="1" applyBorder="1"/>
    <xf numFmtId="0" fontId="0" fillId="0" borderId="8" xfId="1" applyFont="1" applyAlignment="1">
      <alignment horizontal="center"/>
    </xf>
    <xf numFmtId="0" fontId="0" fillId="0" borderId="8" xfId="1" applyFont="1" applyAlignment="1">
      <alignment horizontal="center" vertical="center"/>
    </xf>
    <xf numFmtId="2" fontId="7" fillId="0" borderId="3" xfId="1" applyNumberFormat="1" applyFont="1" applyBorder="1" applyAlignment="1">
      <alignment horizontal="center"/>
    </xf>
    <xf numFmtId="0" fontId="8" fillId="0" borderId="18" xfId="1" applyFont="1" applyBorder="1" applyAlignment="1">
      <alignment horizontal="center" vertical="center" wrapText="1"/>
    </xf>
    <xf numFmtId="0" fontId="9" fillId="2" borderId="8" xfId="1" applyFont="1" applyFill="1" applyAlignment="1">
      <alignment horizontal="center"/>
    </xf>
    <xf numFmtId="0" fontId="9" fillId="2" borderId="8" xfId="1" applyFont="1" applyFill="1" applyAlignment="1">
      <alignment horizontal="left"/>
    </xf>
    <xf numFmtId="0" fontId="0" fillId="0" borderId="26" xfId="0" applyFont="1" applyBorder="1" applyAlignment="1"/>
    <xf numFmtId="0" fontId="0" fillId="0" borderId="26" xfId="0" pivotButton="1" applyFont="1" applyBorder="1" applyAlignment="1"/>
    <xf numFmtId="0" fontId="0" fillId="0" borderId="27" xfId="0" applyFont="1" applyBorder="1" applyAlignment="1"/>
    <xf numFmtId="0" fontId="0" fillId="0" borderId="25" xfId="0" applyFont="1" applyBorder="1" applyAlignment="1"/>
    <xf numFmtId="0" fontId="0" fillId="0" borderId="26" xfId="0" applyNumberFormat="1" applyFont="1" applyBorder="1" applyAlignment="1"/>
    <xf numFmtId="0" fontId="0" fillId="0" borderId="25" xfId="0" applyNumberFormat="1" applyFont="1" applyBorder="1" applyAlignment="1"/>
    <xf numFmtId="0" fontId="0" fillId="0" borderId="24" xfId="0" applyFont="1" applyBorder="1" applyAlignment="1"/>
    <xf numFmtId="0" fontId="0" fillId="0" borderId="24" xfId="0" applyNumberFormat="1" applyFont="1" applyBorder="1" applyAlignment="1"/>
    <xf numFmtId="0" fontId="0" fillId="0" borderId="23" xfId="0" applyNumberFormat="1" applyFont="1" applyBorder="1" applyAlignment="1"/>
    <xf numFmtId="0" fontId="0" fillId="0" borderId="22" xfId="0" applyFont="1" applyBorder="1" applyAlignment="1"/>
    <xf numFmtId="0" fontId="0" fillId="0" borderId="22" xfId="0" applyNumberFormat="1" applyFont="1" applyBorder="1" applyAlignment="1"/>
    <xf numFmtId="0" fontId="0" fillId="0" borderId="21" xfId="0" applyNumberFormat="1" applyFont="1" applyBorder="1" applyAlignment="1"/>
    <xf numFmtId="0" fontId="8" fillId="0" borderId="10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9" fillId="2" borderId="8" xfId="1" applyFont="1" applyFill="1" applyAlignment="1">
      <alignment horizontal="center"/>
    </xf>
    <xf numFmtId="0" fontId="11" fillId="2" borderId="12" xfId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9" fillId="2" borderId="8" xfId="1" applyFont="1" applyFill="1" applyAlignment="1">
      <alignment horizontal="center"/>
    </xf>
    <xf numFmtId="0" fontId="10" fillId="0" borderId="8" xfId="1" applyFont="1"/>
    <xf numFmtId="0" fontId="11" fillId="2" borderId="12" xfId="1" applyFont="1" applyFill="1" applyBorder="1" applyAlignment="1">
      <alignment horizontal="center" vertical="center" wrapText="1"/>
    </xf>
    <xf numFmtId="0" fontId="11" fillId="2" borderId="15" xfId="1" applyFont="1" applyFill="1" applyBorder="1" applyAlignment="1">
      <alignment horizontal="center" vertical="center" wrapText="1"/>
    </xf>
    <xf numFmtId="0" fontId="11" fillId="2" borderId="17" xfId="1" applyFont="1" applyFill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11" fillId="2" borderId="11" xfId="1" applyFont="1" applyFill="1" applyBorder="1" applyAlignment="1">
      <alignment horizontal="center" vertical="center" wrapText="1"/>
    </xf>
    <xf numFmtId="0" fontId="10" fillId="0" borderId="10" xfId="1" applyFont="1" applyBorder="1"/>
    <xf numFmtId="0" fontId="8" fillId="0" borderId="11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10" fillId="0" borderId="9" xfId="1" applyFont="1" applyBorder="1"/>
  </cellXfs>
  <cellStyles count="2">
    <cellStyle name="Normal" xfId="0" builtinId="0"/>
    <cellStyle name="Normal 2" xfId="1" xr:uid="{4B6B1A9F-6AFC-4CB0-AE31-33312BAE9D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Planned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'Release#1'!$A$2:$A$7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'Release#1'!$B$2:$B$7</c:f>
              <c:numCache>
                <c:formatCode>0.00</c:formatCode>
                <c:ptCount val="6"/>
                <c:pt idx="0">
                  <c:v>36</c:v>
                </c:pt>
                <c:pt idx="1">
                  <c:v>42</c:v>
                </c:pt>
                <c:pt idx="2">
                  <c:v>48</c:v>
                </c:pt>
                <c:pt idx="3">
                  <c:v>54</c:v>
                </c:pt>
                <c:pt idx="4">
                  <c:v>60</c:v>
                </c:pt>
                <c:pt idx="5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EE-4DE7-909F-DCDF54223F17}"/>
            </c:ext>
          </c:extLst>
        </c:ser>
        <c:ser>
          <c:idx val="1"/>
          <c:order val="1"/>
          <c:tx>
            <c:v>Consumed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'Release#1'!$A$2:$A$7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'Release#1'!$C$2:$C$7</c:f>
              <c:numCache>
                <c:formatCode>General</c:formatCode>
                <c:ptCount val="6"/>
                <c:pt idx="0">
                  <c:v>36</c:v>
                </c:pt>
                <c:pt idx="1">
                  <c:v>40</c:v>
                </c:pt>
                <c:pt idx="2">
                  <c:v>44</c:v>
                </c:pt>
                <c:pt idx="3">
                  <c:v>50</c:v>
                </c:pt>
                <c:pt idx="4">
                  <c:v>54</c:v>
                </c:pt>
                <c:pt idx="5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EE-4DE7-909F-DCDF54223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285361"/>
        <c:axId val="482911053"/>
      </c:lineChart>
      <c:catAx>
        <c:axId val="1612853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82911053"/>
        <c:crosses val="autoZero"/>
        <c:auto val="1"/>
        <c:lblAlgn val="ctr"/>
        <c:lblOffset val="100"/>
        <c:noMultiLvlLbl val="1"/>
      </c:catAx>
      <c:valAx>
        <c:axId val="4829110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28536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Planned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'Release#2'!$A$2:$A$8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'Release#2'!$B$2:$B$8</c:f>
              <c:numCache>
                <c:formatCode>0.00</c:formatCode>
                <c:ptCount val="7"/>
                <c:pt idx="0">
                  <c:v>24</c:v>
                </c:pt>
                <c:pt idx="1">
                  <c:v>30</c:v>
                </c:pt>
                <c:pt idx="2">
                  <c:v>34</c:v>
                </c:pt>
                <c:pt idx="3">
                  <c:v>38</c:v>
                </c:pt>
                <c:pt idx="4">
                  <c:v>42</c:v>
                </c:pt>
                <c:pt idx="5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C3-4A39-A674-AFE024B4659A}"/>
            </c:ext>
          </c:extLst>
        </c:ser>
        <c:ser>
          <c:idx val="1"/>
          <c:order val="1"/>
          <c:tx>
            <c:v>Consumed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'Release#2'!$A$2:$A$8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'Release#2'!$C$2:$C$8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C3-4A39-A674-AFE024B46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708226"/>
        <c:axId val="1510277114"/>
      </c:lineChart>
      <c:catAx>
        <c:axId val="3717082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10277114"/>
        <c:crosses val="autoZero"/>
        <c:auto val="1"/>
        <c:lblAlgn val="ctr"/>
        <c:lblOffset val="100"/>
        <c:noMultiLvlLbl val="1"/>
      </c:catAx>
      <c:valAx>
        <c:axId val="15102771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717082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v>Planned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'Release#3'!$A$2:$A$7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'Release#3'!$B$2:$B$7</c:f>
              <c:numCache>
                <c:formatCode>General</c:formatCode>
                <c:ptCount val="6"/>
                <c:pt idx="0">
                  <c:v>24</c:v>
                </c:pt>
                <c:pt idx="1">
                  <c:v>28</c:v>
                </c:pt>
                <c:pt idx="2">
                  <c:v>38</c:v>
                </c:pt>
                <c:pt idx="3">
                  <c:v>46</c:v>
                </c:pt>
                <c:pt idx="4">
                  <c:v>58</c:v>
                </c:pt>
                <c:pt idx="5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D7-4240-B6A8-B01D2A7172FA}"/>
            </c:ext>
          </c:extLst>
        </c:ser>
        <c:ser>
          <c:idx val="1"/>
          <c:order val="1"/>
          <c:tx>
            <c:v>Consumed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'Release#3'!$A$2:$A$7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'Release#3'!$C$2:$C$7</c:f>
              <c:numCache>
                <c:formatCode>General</c:formatCode>
                <c:ptCount val="6"/>
                <c:pt idx="0">
                  <c:v>24</c:v>
                </c:pt>
                <c:pt idx="1">
                  <c:v>28</c:v>
                </c:pt>
                <c:pt idx="2">
                  <c:v>28</c:v>
                </c:pt>
                <c:pt idx="3">
                  <c:v>38</c:v>
                </c:pt>
                <c:pt idx="4">
                  <c:v>46</c:v>
                </c:pt>
                <c:pt idx="5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D7-4240-B6A8-B01D2A717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985173"/>
        <c:axId val="398362538"/>
      </c:lineChart>
      <c:catAx>
        <c:axId val="7599851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8362538"/>
        <c:crosses val="autoZero"/>
        <c:auto val="1"/>
        <c:lblAlgn val="ctr"/>
        <c:lblOffset val="100"/>
        <c:noMultiLvlLbl val="1"/>
      </c:catAx>
      <c:valAx>
        <c:axId val="3983625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599851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[TEAM_1_Project Status Report.xlsx]Release#3!Release#3</c:name>
    <c:fmtId val="2"/>
  </c:pivotSource>
  <c:chart>
    <c:autoTitleDeleted val="1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701895161049923E-2"/>
          <c:y val="5.8479532163742687E-2"/>
          <c:w val="0.74860068676487246"/>
          <c:h val="0.7915009746588693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'Release#3'!$Q$4:$Q$5</c:f>
              <c:strCache>
                <c:ptCount val="1"/>
                <c:pt idx="0">
                  <c:v>Sum of Hours</c:v>
                </c:pt>
              </c:strCache>
            </c:strRef>
          </c:tx>
          <c:invertIfNegative val="0"/>
          <c:cat>
            <c:strRef>
              <c:f>'Release#3'!$P$6:$P$12</c:f>
              <c:strCache>
                <c:ptCount val="6"/>
                <c:pt idx="0">
                  <c:v>abdalrahman</c:v>
                </c:pt>
                <c:pt idx="1">
                  <c:v>alaaa</c:v>
                </c:pt>
                <c:pt idx="2">
                  <c:v>alhussin</c:v>
                </c:pt>
                <c:pt idx="3">
                  <c:v>Boda</c:v>
                </c:pt>
                <c:pt idx="4">
                  <c:v>nabil</c:v>
                </c:pt>
                <c:pt idx="5">
                  <c:v>zahraan</c:v>
                </c:pt>
              </c:strCache>
            </c:strRef>
          </c:cat>
          <c:val>
            <c:numRef>
              <c:f>'Release#3'!$Q$6:$Q$12</c:f>
              <c:numCache>
                <c:formatCode>General</c:formatCode>
                <c:ptCount val="6"/>
                <c:pt idx="0">
                  <c:v>9</c:v>
                </c:pt>
                <c:pt idx="1">
                  <c:v>9</c:v>
                </c:pt>
                <c:pt idx="2">
                  <c:v>11</c:v>
                </c:pt>
                <c:pt idx="3">
                  <c:v>3</c:v>
                </c:pt>
                <c:pt idx="4">
                  <c:v>27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A6-40FB-8F71-D85EF0DDC4E4}"/>
            </c:ext>
          </c:extLst>
        </c:ser>
        <c:ser>
          <c:idx val="1"/>
          <c:order val="1"/>
          <c:tx>
            <c:strRef>
              <c:f>'Release#3'!$R$4:$R$5</c:f>
              <c:strCache>
                <c:ptCount val="1"/>
                <c:pt idx="0">
                  <c:v>Sum of Done</c:v>
                </c:pt>
              </c:strCache>
            </c:strRef>
          </c:tx>
          <c:invertIfNegative val="0"/>
          <c:cat>
            <c:strRef>
              <c:f>'Release#3'!$P$6:$P$12</c:f>
              <c:strCache>
                <c:ptCount val="6"/>
                <c:pt idx="0">
                  <c:v>abdalrahman</c:v>
                </c:pt>
                <c:pt idx="1">
                  <c:v>alaaa</c:v>
                </c:pt>
                <c:pt idx="2">
                  <c:v>alhussin</c:v>
                </c:pt>
                <c:pt idx="3">
                  <c:v>Boda</c:v>
                </c:pt>
                <c:pt idx="4">
                  <c:v>nabil</c:v>
                </c:pt>
                <c:pt idx="5">
                  <c:v>zahraan</c:v>
                </c:pt>
              </c:strCache>
            </c:strRef>
          </c:cat>
          <c:val>
            <c:numRef>
              <c:f>'Release#3'!$R$6:$R$12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7</c:v>
                </c:pt>
                <c:pt idx="3">
                  <c:v>3</c:v>
                </c:pt>
                <c:pt idx="4">
                  <c:v>19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A6-40FB-8F71-D85EF0DDC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8298865"/>
        <c:axId val="517339348"/>
      </c:barChart>
      <c:catAx>
        <c:axId val="20282988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7339348"/>
        <c:crosses val="autoZero"/>
        <c:auto val="1"/>
        <c:lblAlgn val="ctr"/>
        <c:lblOffset val="100"/>
        <c:noMultiLvlLbl val="1"/>
      </c:catAx>
      <c:valAx>
        <c:axId val="5173393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829886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v>Planned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'Release#4'!$A$2:$A$7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'Release#4'!$B$2:$B$7</c:f>
              <c:numCache>
                <c:formatCode>General</c:formatCode>
                <c:ptCount val="6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67-4038-ACD9-B17A5E5AA591}"/>
            </c:ext>
          </c:extLst>
        </c:ser>
        <c:ser>
          <c:idx val="1"/>
          <c:order val="1"/>
          <c:tx>
            <c:v>Consumed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'Release#4'!$A$2:$A$7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'Release#4'!$C$2:$C$7</c:f>
              <c:numCache>
                <c:formatCode>General</c:formatCode>
                <c:ptCount val="6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67-4038-ACD9-B17A5E5AA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985173"/>
        <c:axId val="398362538"/>
      </c:lineChart>
      <c:catAx>
        <c:axId val="7599851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8362538"/>
        <c:crosses val="autoZero"/>
        <c:auto val="1"/>
        <c:lblAlgn val="ctr"/>
        <c:lblOffset val="100"/>
        <c:noMultiLvlLbl val="1"/>
      </c:catAx>
      <c:valAx>
        <c:axId val="3983625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599851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[TEAM_1_Project Status Report.xlsx]Release#4!Release#3</c:name>
    <c:fmtId val="1"/>
  </c:pivotSource>
  <c:chart>
    <c:autoTitleDeleted val="1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701895161049923E-2"/>
          <c:y val="5.8479532163742687E-2"/>
          <c:w val="0.74860068676487246"/>
          <c:h val="0.7915009746588693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'Release#4'!$Q$4:$Q$5</c:f>
              <c:strCache>
                <c:ptCount val="1"/>
                <c:pt idx="0">
                  <c:v>Sum of Hours</c:v>
                </c:pt>
              </c:strCache>
            </c:strRef>
          </c:tx>
          <c:invertIfNegative val="0"/>
          <c:cat>
            <c:strRef>
              <c:f>'Release#4'!$P$6:$P$11</c:f>
              <c:strCache>
                <c:ptCount val="5"/>
                <c:pt idx="0">
                  <c:v>abdalrahman</c:v>
                </c:pt>
                <c:pt idx="1">
                  <c:v>alaaa</c:v>
                </c:pt>
                <c:pt idx="2">
                  <c:v>alhussin</c:v>
                </c:pt>
                <c:pt idx="3">
                  <c:v>nabil</c:v>
                </c:pt>
                <c:pt idx="4">
                  <c:v>zahraan</c:v>
                </c:pt>
              </c:strCache>
            </c:strRef>
          </c:cat>
          <c:val>
            <c:numRef>
              <c:f>'Release#4'!$Q$6:$Q$11</c:f>
              <c:numCache>
                <c:formatCode>General</c:formatCode>
                <c:ptCount val="5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6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E9-479D-AF38-9962CB2B10FC}"/>
            </c:ext>
          </c:extLst>
        </c:ser>
        <c:ser>
          <c:idx val="1"/>
          <c:order val="1"/>
          <c:tx>
            <c:strRef>
              <c:f>'Release#4'!$R$4:$R$5</c:f>
              <c:strCache>
                <c:ptCount val="1"/>
                <c:pt idx="0">
                  <c:v>Sum of Done</c:v>
                </c:pt>
              </c:strCache>
            </c:strRef>
          </c:tx>
          <c:invertIfNegative val="0"/>
          <c:cat>
            <c:strRef>
              <c:f>'Release#4'!$P$6:$P$11</c:f>
              <c:strCache>
                <c:ptCount val="5"/>
                <c:pt idx="0">
                  <c:v>abdalrahman</c:v>
                </c:pt>
                <c:pt idx="1">
                  <c:v>alaaa</c:v>
                </c:pt>
                <c:pt idx="2">
                  <c:v>alhussin</c:v>
                </c:pt>
                <c:pt idx="3">
                  <c:v>nabil</c:v>
                </c:pt>
                <c:pt idx="4">
                  <c:v>zahraan</c:v>
                </c:pt>
              </c:strCache>
            </c:strRef>
          </c:cat>
          <c:val>
            <c:numRef>
              <c:f>'Release#4'!$R$6:$R$11</c:f>
              <c:numCache>
                <c:formatCode>General</c:formatCode>
                <c:ptCount val="5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6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E9-479D-AF38-9962CB2B1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8298865"/>
        <c:axId val="517339348"/>
      </c:barChart>
      <c:catAx>
        <c:axId val="20282988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7339348"/>
        <c:crosses val="autoZero"/>
        <c:auto val="1"/>
        <c:lblAlgn val="ctr"/>
        <c:lblOffset val="100"/>
        <c:noMultiLvlLbl val="1"/>
      </c:catAx>
      <c:valAx>
        <c:axId val="5173393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829886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v>Planned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'Release#5'!$A$2:$A$7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'Release#5'!$B$2:$B$7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FB-4840-8A6B-081AD16780F7}"/>
            </c:ext>
          </c:extLst>
        </c:ser>
        <c:ser>
          <c:idx val="1"/>
          <c:order val="1"/>
          <c:tx>
            <c:v>Consumed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'Release#5'!$A$2:$A$7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'Release#5'!$C$2:$C$7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FB-4840-8A6B-081AD1678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985173"/>
        <c:axId val="398362538"/>
      </c:lineChart>
      <c:catAx>
        <c:axId val="7599851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8362538"/>
        <c:crosses val="autoZero"/>
        <c:auto val="1"/>
        <c:lblAlgn val="ctr"/>
        <c:lblOffset val="100"/>
        <c:noMultiLvlLbl val="1"/>
      </c:catAx>
      <c:valAx>
        <c:axId val="3983625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599851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[TEAM_1_Project Status Report.xlsx]Release#5!Release#3</c:name>
    <c:fmtId val="2"/>
  </c:pivotSource>
  <c:chart>
    <c:autoTitleDeleted val="1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701895161049923E-2"/>
          <c:y val="5.8479532163742687E-2"/>
          <c:w val="0.74860068676487246"/>
          <c:h val="0.7915009746588693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'Release#5'!$Q$4:$Q$5</c:f>
              <c:strCache>
                <c:ptCount val="1"/>
                <c:pt idx="0">
                  <c:v>Sum of Hours</c:v>
                </c:pt>
              </c:strCache>
            </c:strRef>
          </c:tx>
          <c:invertIfNegative val="0"/>
          <c:cat>
            <c:strRef>
              <c:f>'Release#5'!$P$6:$P$11</c:f>
              <c:strCache>
                <c:ptCount val="5"/>
                <c:pt idx="0">
                  <c:v>abdalrahman</c:v>
                </c:pt>
                <c:pt idx="1">
                  <c:v>alaaa</c:v>
                </c:pt>
                <c:pt idx="2">
                  <c:v>alhussin</c:v>
                </c:pt>
                <c:pt idx="3">
                  <c:v>nabil</c:v>
                </c:pt>
                <c:pt idx="4">
                  <c:v>zahraan</c:v>
                </c:pt>
              </c:strCache>
            </c:strRef>
          </c:cat>
          <c:val>
            <c:numRef>
              <c:f>'Release#5'!$Q$6:$Q$11</c:f>
              <c:numCache>
                <c:formatCode>General</c:formatCode>
                <c:ptCount val="5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6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8-4D4C-BC0C-4E8D0968ACC2}"/>
            </c:ext>
          </c:extLst>
        </c:ser>
        <c:ser>
          <c:idx val="1"/>
          <c:order val="1"/>
          <c:tx>
            <c:strRef>
              <c:f>'Release#5'!$R$4:$R$5</c:f>
              <c:strCache>
                <c:ptCount val="1"/>
                <c:pt idx="0">
                  <c:v>Sum of Done</c:v>
                </c:pt>
              </c:strCache>
            </c:strRef>
          </c:tx>
          <c:invertIfNegative val="0"/>
          <c:cat>
            <c:strRef>
              <c:f>'Release#5'!$P$6:$P$11</c:f>
              <c:strCache>
                <c:ptCount val="5"/>
                <c:pt idx="0">
                  <c:v>abdalrahman</c:v>
                </c:pt>
                <c:pt idx="1">
                  <c:v>alaaa</c:v>
                </c:pt>
                <c:pt idx="2">
                  <c:v>alhussin</c:v>
                </c:pt>
                <c:pt idx="3">
                  <c:v>nabil</c:v>
                </c:pt>
                <c:pt idx="4">
                  <c:v>zahraan</c:v>
                </c:pt>
              </c:strCache>
            </c:strRef>
          </c:cat>
          <c:val>
            <c:numRef>
              <c:f>'Release#5'!$R$6:$R$11</c:f>
              <c:numCache>
                <c:formatCode>General</c:formatCode>
                <c:ptCount val="5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6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E8-4D4C-BC0C-4E8D0968A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8298865"/>
        <c:axId val="517339348"/>
      </c:barChart>
      <c:catAx>
        <c:axId val="20282988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7339348"/>
        <c:crosses val="autoZero"/>
        <c:auto val="1"/>
        <c:lblAlgn val="ctr"/>
        <c:lblOffset val="100"/>
        <c:noMultiLvlLbl val="1"/>
      </c:catAx>
      <c:valAx>
        <c:axId val="5173393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829886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990600</xdr:colOff>
      <xdr:row>0</xdr:row>
      <xdr:rowOff>0</xdr:rowOff>
    </xdr:from>
    <xdr:ext cx="5715000" cy="1914525"/>
    <xdr:graphicFrame macro="">
      <xdr:nvGraphicFramePr>
        <xdr:cNvPr id="691422368" name="Chart 1" title="Chart">
          <a:extLst>
            <a:ext uri="{FF2B5EF4-FFF2-40B4-BE49-F238E27FC236}">
              <a16:creationId xmlns:a16="http://schemas.microsoft.com/office/drawing/2014/main" id="{00000000-0008-0000-0000-0000A04436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990600</xdr:colOff>
      <xdr:row>0</xdr:row>
      <xdr:rowOff>0</xdr:rowOff>
    </xdr:from>
    <xdr:ext cx="6905625" cy="2314575"/>
    <xdr:graphicFrame macro="">
      <xdr:nvGraphicFramePr>
        <xdr:cNvPr id="941445547" name="Chart 2" title="Chart">
          <a:extLst>
            <a:ext uri="{FF2B5EF4-FFF2-40B4-BE49-F238E27FC236}">
              <a16:creationId xmlns:a16="http://schemas.microsoft.com/office/drawing/2014/main" id="{00000000-0008-0000-0100-0000AB511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1251857</xdr:colOff>
      <xdr:row>0</xdr:row>
      <xdr:rowOff>217714</xdr:rowOff>
    </xdr:from>
    <xdr:ext cx="7549243" cy="2677886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DF8E92BB-AC42-4232-8B80-B8B9A4F52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4118</xdr:colOff>
      <xdr:row>19</xdr:row>
      <xdr:rowOff>98338</xdr:rowOff>
    </xdr:from>
    <xdr:ext cx="6709720" cy="32575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18E48A-12BC-4DBA-A5C0-FCDF4B19C9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1251857</xdr:colOff>
      <xdr:row>0</xdr:row>
      <xdr:rowOff>217714</xdr:rowOff>
    </xdr:from>
    <xdr:ext cx="7549243" cy="2677886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4561D1-325D-424D-A6C7-1CBDEC77B8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4118</xdr:colOff>
      <xdr:row>19</xdr:row>
      <xdr:rowOff>98338</xdr:rowOff>
    </xdr:from>
    <xdr:ext cx="6709720" cy="32575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4FB73D-306B-4107-B738-2493F758E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1251857</xdr:colOff>
      <xdr:row>0</xdr:row>
      <xdr:rowOff>217714</xdr:rowOff>
    </xdr:from>
    <xdr:ext cx="7549243" cy="2677886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33F76CC8-30FA-4124-99D7-59CAFB430D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4118</xdr:colOff>
      <xdr:row>19</xdr:row>
      <xdr:rowOff>98338</xdr:rowOff>
    </xdr:from>
    <xdr:ext cx="6709720" cy="32575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5B1C2F-8CB5-4C3E-9C61-C9C624F147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TEAM_1_Project%20Status%20Report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V" refreshedDate="46127.858484722223" createdVersion="7" refreshedVersion="7" minRefreshableVersion="3" recordCount="29" xr:uid="{1B5D88AE-0F7B-4A50-8A6E-73B606D87387}">
  <cacheSource type="worksheet">
    <worksheetSource ref="I1:M30" sheet="Release#3" r:id="rId2"/>
  </cacheSource>
  <cacheFields count="5">
    <cacheField name="Deliverable" numFmtId="0">
      <sharedItems/>
    </cacheField>
    <cacheField name="% Completed" numFmtId="9">
      <sharedItems containsSemiMixedTypes="0" containsString="0" containsNumber="1" containsInteger="1" minValue="0" maxValue="1"/>
    </cacheField>
    <cacheField name="Comments" numFmtId="0">
      <sharedItems count="6">
        <s v="nabil"/>
        <s v="alaaa"/>
        <s v="zahraan"/>
        <s v="alhussin"/>
        <s v="Boda"/>
        <s v="abdalrahman"/>
      </sharedItems>
    </cacheField>
    <cacheField name="Hours" numFmtId="0">
      <sharedItems containsSemiMixedTypes="0" containsString="0" containsNumber="1" containsInteger="1" minValue="1" maxValue="10"/>
    </cacheField>
    <cacheField name="Done" numFmtId="0">
      <sharedItems containsString="0" containsBlank="1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V" refreshedDate="46136.950225115739" createdVersion="7" refreshedVersion="7" minRefreshableVersion="3" recordCount="12" xr:uid="{FD53795D-03D4-45B0-A2B6-398AA1A6D80A}">
  <cacheSource type="worksheet">
    <worksheetSource ref="I1:M13" sheet="Release#4"/>
  </cacheSource>
  <cacheFields count="5">
    <cacheField name="Deliverable" numFmtId="0">
      <sharedItems/>
    </cacheField>
    <cacheField name="% Completed" numFmtId="9">
      <sharedItems containsSemiMixedTypes="0" containsString="0" containsNumber="1" containsInteger="1" minValue="1" maxValue="1"/>
    </cacheField>
    <cacheField name="Comments" numFmtId="0">
      <sharedItems count="5">
        <s v="nabil"/>
        <s v="alaaa"/>
        <s v="zahraan"/>
        <s v="alhussin"/>
        <s v="abdalrahman"/>
      </sharedItems>
    </cacheField>
    <cacheField name="Hours" numFmtId="0">
      <sharedItems containsSemiMixedTypes="0" containsString="0" containsNumber="1" containsInteger="1" minValue="3" maxValue="8"/>
    </cacheField>
    <cacheField name="Done" numFmtId="0">
      <sharedItems containsSemiMixedTypes="0" containsString="0" containsNumber="1" containsInteger="1" minValue="3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sprintPlan"/>
    <n v="1"/>
    <x v="0"/>
    <n v="3"/>
    <n v="3"/>
  </r>
  <r>
    <s v="Testcase_ Flight Results"/>
    <n v="1"/>
    <x v="1"/>
    <n v="3"/>
    <n v="3"/>
  </r>
  <r>
    <s v="Testcase_ Passenger Details"/>
    <n v="1"/>
    <x v="2"/>
    <n v="3"/>
    <n v="3"/>
  </r>
  <r>
    <s v="Testcase_  Admin Login"/>
    <n v="1"/>
    <x v="3"/>
    <n v="3"/>
    <n v="3"/>
  </r>
  <r>
    <s v="FlowChart A"/>
    <n v="1"/>
    <x v="4"/>
    <n v="3"/>
    <n v="3"/>
  </r>
  <r>
    <s v="FlowChart B"/>
    <n v="1"/>
    <x v="5"/>
    <n v="3"/>
    <n v="3"/>
  </r>
  <r>
    <s v="SRS Review"/>
    <n v="1"/>
    <x v="0"/>
    <n v="3"/>
    <n v="3"/>
  </r>
  <r>
    <s v="testcase review"/>
    <n v="1"/>
    <x v="0"/>
    <n v="3"/>
    <n v="3"/>
  </r>
  <r>
    <s v="learning _sequence diagram A"/>
    <n v="1"/>
    <x v="3"/>
    <n v="2"/>
    <n v="2"/>
  </r>
  <r>
    <s v="learning _sequence diagram B"/>
    <n v="1"/>
    <x v="2"/>
    <n v="2"/>
    <n v="2"/>
  </r>
  <r>
    <s v="Update wireframe"/>
    <n v="1"/>
    <x v="0"/>
    <n v="10"/>
    <n v="10"/>
  </r>
  <r>
    <s v="update Siq 1"/>
    <n v="1"/>
    <x v="2"/>
    <n v="1"/>
    <n v="1"/>
  </r>
  <r>
    <s v="update Siq 2"/>
    <n v="1"/>
    <x v="3"/>
    <n v="1"/>
    <n v="1"/>
  </r>
  <r>
    <s v="update Siq 3"/>
    <n v="1"/>
    <x v="1"/>
    <n v="1"/>
    <n v="1"/>
  </r>
  <r>
    <s v="update Siq 4"/>
    <n v="1"/>
    <x v="5"/>
    <n v="1"/>
    <n v="1"/>
  </r>
  <r>
    <s v="review Siq 1"/>
    <n v="1"/>
    <x v="2"/>
    <n v="1"/>
    <n v="1"/>
  </r>
  <r>
    <s v="review Siq 2"/>
    <n v="1"/>
    <x v="3"/>
    <n v="1"/>
    <n v="1"/>
  </r>
  <r>
    <s v="review Siq 3"/>
    <n v="1"/>
    <x v="1"/>
    <n v="1"/>
    <n v="1"/>
  </r>
  <r>
    <s v="review Siq 4"/>
    <n v="1"/>
    <x v="5"/>
    <n v="1"/>
    <n v="1"/>
  </r>
  <r>
    <s v="SRS 1"/>
    <n v="0"/>
    <x v="3"/>
    <n v="2"/>
    <m/>
  </r>
  <r>
    <s v="SRS 2"/>
    <n v="0"/>
    <x v="5"/>
    <n v="2"/>
    <m/>
  </r>
  <r>
    <s v="SRS 3"/>
    <n v="0"/>
    <x v="2"/>
    <n v="2"/>
    <m/>
  </r>
  <r>
    <s v="SRS 4"/>
    <n v="0"/>
    <x v="1"/>
    <n v="2"/>
    <m/>
  </r>
  <r>
    <s v="SRS v2 review "/>
    <n v="0"/>
    <x v="0"/>
    <n v="4"/>
    <m/>
  </r>
  <r>
    <s v="Testcase 1"/>
    <n v="0"/>
    <x v="3"/>
    <n v="2"/>
    <m/>
  </r>
  <r>
    <s v="Testcase 2"/>
    <n v="0"/>
    <x v="5"/>
    <n v="2"/>
    <m/>
  </r>
  <r>
    <s v="Testcase 3"/>
    <n v="0"/>
    <x v="1"/>
    <n v="2"/>
    <m/>
  </r>
  <r>
    <s v="Testcase 4"/>
    <n v="0"/>
    <x v="2"/>
    <n v="2"/>
    <m/>
  </r>
  <r>
    <s v="Testcase v2 review"/>
    <n v="0"/>
    <x v="0"/>
    <n v="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printPlan"/>
    <n v="1"/>
    <x v="0"/>
    <n v="3"/>
    <n v="3"/>
  </r>
  <r>
    <s v="javaScript learning1"/>
    <n v="1"/>
    <x v="1"/>
    <n v="3"/>
    <n v="3"/>
  </r>
  <r>
    <s v="javaScript learning2"/>
    <n v="1"/>
    <x v="2"/>
    <n v="3"/>
    <n v="3"/>
  </r>
  <r>
    <s v="javaScript learning3"/>
    <n v="1"/>
    <x v="3"/>
    <n v="3"/>
    <n v="3"/>
  </r>
  <r>
    <s v="javaScript learning4"/>
    <n v="1"/>
    <x v="4"/>
    <n v="3"/>
    <n v="3"/>
  </r>
  <r>
    <s v="javaScript learning5"/>
    <n v="1"/>
    <x v="0"/>
    <n v="3"/>
    <n v="3"/>
  </r>
  <r>
    <s v="css/html learning 1"/>
    <n v="1"/>
    <x v="3"/>
    <n v="3"/>
    <n v="3"/>
  </r>
  <r>
    <s v="css/html learning 2"/>
    <n v="1"/>
    <x v="2"/>
    <n v="3"/>
    <n v="3"/>
  </r>
  <r>
    <s v="nodeJs/ExpressJS learning1"/>
    <n v="1"/>
    <x v="1"/>
    <n v="8"/>
    <n v="8"/>
  </r>
  <r>
    <s v="nodeJs/ExpressJS learning2"/>
    <n v="1"/>
    <x v="4"/>
    <n v="8"/>
    <n v="8"/>
  </r>
  <r>
    <s v="frontend development 1"/>
    <n v="1"/>
    <x v="3"/>
    <n v="5"/>
    <n v="5"/>
  </r>
  <r>
    <s v="frontend development 2"/>
    <n v="1"/>
    <x v="2"/>
    <n v="5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9B1EE2-8420-4372-994D-D8DFF32FE74A}" name="Release#3" cacheId="0" applyNumberFormats="0" applyBorderFormats="0" applyFontFormats="0" applyPatternFormats="0" applyAlignmentFormats="0" applyWidthHeightFormats="0" dataCaption="" updatedVersion="7" compact="0" compactData="0" chartFormat="3">
  <location ref="P4:R12" firstHeaderRow="1" firstDataRow="2" firstDataCol="1"/>
  <pivotFields count="5">
    <pivotField name="Deliverable" compact="0" outline="0" multipleItemSelectionAllowed="1" showAll="0"/>
    <pivotField name="% Completed" compact="0" numFmtId="9" outline="0" multipleItemSelectionAllowed="1" showAll="0"/>
    <pivotField name="Comments" axis="axisRow" compact="0" outline="0" multipleItemSelectionAllowed="1" showAll="0" sortType="ascending">
      <items count="7">
        <item x="5"/>
        <item x="1"/>
        <item x="3"/>
        <item x="4"/>
        <item x="0"/>
        <item x="2"/>
        <item t="default"/>
      </items>
    </pivotField>
    <pivotField dataField="1" compact="0" outline="0" showAll="0" includeNewItemsInFilter="1"/>
    <pivotField name="Done" dataField="1" compact="0" outline="0" multipleItemSelectionAllowe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3" baseField="0" baseItem="0"/>
    <dataField name="Sum of Done" fld="4" baseField="0"/>
  </dataFields>
  <chartFormats count="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65364D-C119-4653-A0E0-E718E239CD72}" name="Release#3" cacheId="1" applyNumberFormats="0" applyBorderFormats="0" applyFontFormats="0" applyPatternFormats="0" applyAlignmentFormats="0" applyWidthHeightFormats="0" dataCaption="" updatedVersion="7" compact="0" compactData="0" chartFormat="2">
  <location ref="P4:R11" firstHeaderRow="1" firstDataRow="2" firstDataCol="1"/>
  <pivotFields count="5">
    <pivotField name="Deliverable" compact="0" outline="0" multipleItemSelectionAllowed="1" showAll="0"/>
    <pivotField name="% Completed" compact="0" numFmtId="9" outline="0" multipleItemSelectionAllowed="1" showAll="0"/>
    <pivotField name="Comments" axis="axisRow" compact="0" outline="0" multipleItemSelectionAllowed="1" showAll="0" sortType="ascending">
      <items count="6">
        <item x="4"/>
        <item x="1"/>
        <item x="3"/>
        <item x="0"/>
        <item x="2"/>
        <item t="default"/>
      </items>
    </pivotField>
    <pivotField dataField="1" compact="0" outline="0" showAll="0" includeNewItemsInFilter="1"/>
    <pivotField name="Done" dataField="1" compact="0" outline="0" multipleItemSelectionAllowe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3" baseField="0" baseItem="0"/>
    <dataField name="Sum of Done" fld="4" baseField="0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24A4A-83E6-4F38-BF99-7949CBE850DD}" name="Release#3" cacheId="1" applyNumberFormats="0" applyBorderFormats="0" applyFontFormats="0" applyPatternFormats="0" applyAlignmentFormats="0" applyWidthHeightFormats="0" dataCaption="" updatedVersion="7" compact="0" compactData="0" chartFormat="3">
  <location ref="P4:R11" firstHeaderRow="1" firstDataRow="2" firstDataCol="1"/>
  <pivotFields count="5">
    <pivotField name="Deliverable" compact="0" outline="0" multipleItemSelectionAllowed="1" showAll="0"/>
    <pivotField name="% Completed" compact="0" numFmtId="9" outline="0" multipleItemSelectionAllowed="1" showAll="0"/>
    <pivotField name="Comments" axis="axisRow" compact="0" outline="0" multipleItemSelectionAllowed="1" showAll="0" sortType="ascending">
      <items count="6">
        <item x="4"/>
        <item x="1"/>
        <item x="3"/>
        <item x="0"/>
        <item x="2"/>
        <item t="default"/>
      </items>
    </pivotField>
    <pivotField dataField="1" compact="0" outline="0" showAll="0" includeNewItemsInFilter="1"/>
    <pivotField name="Done" dataField="1" compact="0" outline="0" multipleItemSelectionAllowe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3" baseField="0" baseItem="0"/>
    <dataField name="Sum of Done" fld="4" baseField="0"/>
  </dataFields>
  <chartFormats count="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zoomScale="66" workbookViewId="0"/>
  </sheetViews>
  <sheetFormatPr defaultColWidth="12.6640625" defaultRowHeight="15" customHeight="1" x14ac:dyDescent="0.25"/>
  <cols>
    <col min="1" max="1" width="16.77734375" customWidth="1"/>
    <col min="2" max="2" width="25.44140625" customWidth="1"/>
    <col min="3" max="3" width="11.21875" customWidth="1"/>
    <col min="4" max="4" width="14.33203125" customWidth="1"/>
    <col min="5" max="5" width="52.109375" customWidth="1"/>
    <col min="6" max="6" width="10" customWidth="1"/>
    <col min="7" max="7" width="41.88671875" customWidth="1"/>
    <col min="11" max="11" width="34.4414062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I1" s="2" t="s">
        <v>4</v>
      </c>
      <c r="J1" s="1" t="s">
        <v>5</v>
      </c>
      <c r="K1" s="3" t="s">
        <v>6</v>
      </c>
    </row>
    <row r="2" spans="1:11" ht="15.75" customHeight="1" x14ac:dyDescent="0.25">
      <c r="A2" s="4">
        <v>1</v>
      </c>
      <c r="B2" s="5">
        <v>36</v>
      </c>
      <c r="C2" s="6">
        <v>36</v>
      </c>
      <c r="D2" s="5">
        <v>70</v>
      </c>
      <c r="I2" s="7" t="s">
        <v>7</v>
      </c>
      <c r="J2" s="8">
        <v>1</v>
      </c>
      <c r="K2" s="6"/>
    </row>
    <row r="3" spans="1:11" ht="15.75" customHeight="1" x14ac:dyDescent="0.25">
      <c r="A3" s="4">
        <v>2</v>
      </c>
      <c r="B3" s="5">
        <v>42</v>
      </c>
      <c r="C3" s="6">
        <v>40</v>
      </c>
      <c r="D3" s="9"/>
      <c r="I3" s="7" t="s">
        <v>8</v>
      </c>
      <c r="J3" s="8">
        <v>1</v>
      </c>
      <c r="K3" s="6"/>
    </row>
    <row r="4" spans="1:11" ht="15.75" customHeight="1" x14ac:dyDescent="0.25">
      <c r="A4" s="4">
        <v>3</v>
      </c>
      <c r="B4" s="5">
        <v>48</v>
      </c>
      <c r="C4" s="6">
        <v>44</v>
      </c>
      <c r="D4" s="9"/>
      <c r="I4" s="7" t="s">
        <v>9</v>
      </c>
      <c r="J4" s="8">
        <v>1</v>
      </c>
      <c r="K4" s="6"/>
    </row>
    <row r="5" spans="1:11" ht="15.75" customHeight="1" x14ac:dyDescent="0.25">
      <c r="A5" s="4">
        <v>4</v>
      </c>
      <c r="B5" s="5">
        <v>54</v>
      </c>
      <c r="C5" s="6">
        <v>50</v>
      </c>
      <c r="D5" s="9"/>
      <c r="I5" s="7" t="s">
        <v>10</v>
      </c>
      <c r="J5" s="8">
        <v>1</v>
      </c>
      <c r="K5" s="6"/>
    </row>
    <row r="6" spans="1:11" ht="15.75" customHeight="1" x14ac:dyDescent="0.25">
      <c r="A6" s="4">
        <v>5</v>
      </c>
      <c r="B6" s="5">
        <v>60</v>
      </c>
      <c r="C6" s="6">
        <v>54</v>
      </c>
      <c r="D6" s="9"/>
      <c r="I6" s="7" t="s">
        <v>11</v>
      </c>
      <c r="J6" s="8">
        <v>1</v>
      </c>
      <c r="K6" s="6"/>
    </row>
    <row r="7" spans="1:11" ht="15.75" customHeight="1" x14ac:dyDescent="0.25">
      <c r="A7" s="4">
        <v>6</v>
      </c>
      <c r="B7" s="5">
        <v>66</v>
      </c>
      <c r="C7" s="6">
        <v>66</v>
      </c>
      <c r="D7" s="9"/>
      <c r="I7" s="7" t="s">
        <v>12</v>
      </c>
      <c r="J7" s="8">
        <v>1</v>
      </c>
      <c r="K7" s="6"/>
    </row>
    <row r="8" spans="1:11" ht="15.75" customHeight="1" x14ac:dyDescent="0.25">
      <c r="A8" s="9"/>
      <c r="B8" s="9"/>
      <c r="C8" s="9"/>
      <c r="D8" s="9"/>
      <c r="I8" s="10"/>
    </row>
    <row r="9" spans="1:11" ht="15.75" customHeight="1" x14ac:dyDescent="0.25">
      <c r="A9" s="9"/>
      <c r="B9" s="9"/>
      <c r="C9" s="9"/>
      <c r="D9" s="9"/>
      <c r="I9" s="10"/>
    </row>
    <row r="10" spans="1:11" ht="15.75" customHeight="1" x14ac:dyDescent="0.25">
      <c r="A10" s="9"/>
      <c r="B10" s="9"/>
      <c r="C10" s="9"/>
      <c r="D10" s="9"/>
      <c r="I10" s="10"/>
    </row>
    <row r="11" spans="1:11" ht="15.75" customHeight="1" x14ac:dyDescent="0.25">
      <c r="A11" s="9"/>
      <c r="B11" s="9"/>
      <c r="C11" s="9"/>
      <c r="D11" s="9"/>
      <c r="I11" s="10"/>
    </row>
    <row r="12" spans="1:11" ht="15.75" customHeight="1" x14ac:dyDescent="0.25">
      <c r="A12" s="93" t="s">
        <v>13</v>
      </c>
      <c r="B12" s="94"/>
      <c r="C12" s="94"/>
      <c r="D12" s="94"/>
      <c r="E12" s="94"/>
      <c r="F12" s="94"/>
      <c r="G12" s="95"/>
      <c r="I12" s="10"/>
    </row>
    <row r="13" spans="1:11" ht="15.75" customHeight="1" x14ac:dyDescent="0.25">
      <c r="A13" s="11" t="s">
        <v>14</v>
      </c>
      <c r="B13" s="11" t="s">
        <v>15</v>
      </c>
      <c r="C13" s="11" t="s">
        <v>16</v>
      </c>
      <c r="D13" s="11" t="s">
        <v>17</v>
      </c>
      <c r="E13" s="12" t="s">
        <v>18</v>
      </c>
      <c r="F13" s="12" t="s">
        <v>19</v>
      </c>
      <c r="G13" s="12" t="s">
        <v>20</v>
      </c>
      <c r="I13" s="10"/>
    </row>
    <row r="14" spans="1:11" ht="48.75" customHeight="1" x14ac:dyDescent="0.25">
      <c r="A14" s="13" t="s">
        <v>21</v>
      </c>
      <c r="B14" s="13" t="s">
        <v>22</v>
      </c>
      <c r="C14" s="13">
        <v>5</v>
      </c>
      <c r="D14" s="13">
        <v>5</v>
      </c>
      <c r="E14" s="13" t="s">
        <v>23</v>
      </c>
      <c r="F14" s="6" t="s">
        <v>24</v>
      </c>
      <c r="G14" s="13" t="s">
        <v>25</v>
      </c>
      <c r="I14" s="10"/>
    </row>
    <row r="15" spans="1:11" ht="53.25" customHeight="1" x14ac:dyDescent="0.25">
      <c r="A15" s="13" t="s">
        <v>26</v>
      </c>
      <c r="B15" s="13" t="s">
        <v>27</v>
      </c>
      <c r="C15" s="6">
        <v>1</v>
      </c>
      <c r="D15" s="6">
        <v>3</v>
      </c>
      <c r="E15" s="13" t="s">
        <v>28</v>
      </c>
      <c r="F15" s="6" t="s">
        <v>29</v>
      </c>
      <c r="G15" s="13" t="s">
        <v>30</v>
      </c>
      <c r="I15" s="10"/>
    </row>
    <row r="16" spans="1:11" ht="42" customHeight="1" x14ac:dyDescent="0.25">
      <c r="A16" s="13" t="s">
        <v>31</v>
      </c>
      <c r="B16" s="13" t="s">
        <v>32</v>
      </c>
      <c r="C16" s="6">
        <v>3</v>
      </c>
      <c r="D16" s="6">
        <v>4</v>
      </c>
      <c r="E16" s="13" t="s">
        <v>33</v>
      </c>
      <c r="F16" s="6" t="s">
        <v>29</v>
      </c>
      <c r="G16" s="13" t="s">
        <v>34</v>
      </c>
      <c r="I16" s="10"/>
    </row>
    <row r="17" spans="1:9" ht="42" customHeight="1" x14ac:dyDescent="0.25">
      <c r="A17" s="13" t="s">
        <v>35</v>
      </c>
      <c r="B17" s="13" t="s">
        <v>36</v>
      </c>
      <c r="C17" s="6">
        <v>2</v>
      </c>
      <c r="D17" s="6">
        <v>2</v>
      </c>
      <c r="E17" s="13" t="s">
        <v>37</v>
      </c>
      <c r="F17" s="6" t="s">
        <v>24</v>
      </c>
      <c r="G17" s="13" t="s">
        <v>38</v>
      </c>
      <c r="I17" s="10"/>
    </row>
    <row r="18" spans="1:9" ht="66" customHeight="1" x14ac:dyDescent="0.25">
      <c r="A18" s="13" t="s">
        <v>39</v>
      </c>
      <c r="B18" s="13" t="s">
        <v>40</v>
      </c>
      <c r="C18" s="6">
        <v>3</v>
      </c>
      <c r="D18" s="6">
        <v>5</v>
      </c>
      <c r="E18" s="13" t="s">
        <v>41</v>
      </c>
      <c r="F18" s="6" t="s">
        <v>29</v>
      </c>
      <c r="G18" s="13" t="s">
        <v>42</v>
      </c>
      <c r="I18" s="10"/>
    </row>
    <row r="19" spans="1:9" ht="15.75" customHeight="1" x14ac:dyDescent="0.25">
      <c r="A19" s="13" t="s">
        <v>43</v>
      </c>
      <c r="B19" s="13" t="s">
        <v>44</v>
      </c>
      <c r="C19" s="6">
        <v>5</v>
      </c>
      <c r="D19" s="6">
        <v>4</v>
      </c>
      <c r="E19" s="13" t="s">
        <v>45</v>
      </c>
      <c r="F19" s="6" t="s">
        <v>46</v>
      </c>
      <c r="G19" s="13" t="s">
        <v>47</v>
      </c>
      <c r="I19" s="10"/>
    </row>
    <row r="20" spans="1:9" ht="15.75" customHeight="1" x14ac:dyDescent="0.25">
      <c r="A20" s="13" t="s">
        <v>48</v>
      </c>
      <c r="B20" s="13" t="s">
        <v>49</v>
      </c>
      <c r="C20" s="6">
        <v>5</v>
      </c>
      <c r="D20" s="6">
        <v>5</v>
      </c>
      <c r="E20" s="13" t="s">
        <v>50</v>
      </c>
      <c r="F20" s="6" t="s">
        <v>24</v>
      </c>
      <c r="G20" s="13" t="s">
        <v>51</v>
      </c>
      <c r="I20" s="10"/>
    </row>
    <row r="21" spans="1:9" ht="15.75" customHeight="1" x14ac:dyDescent="0.25">
      <c r="A21" s="13"/>
      <c r="B21" s="6"/>
      <c r="C21" s="6"/>
      <c r="D21" s="6"/>
      <c r="E21" s="6"/>
      <c r="F21" s="6"/>
      <c r="G21" s="6"/>
      <c r="I21" s="10"/>
    </row>
    <row r="22" spans="1:9" ht="15.75" customHeight="1" x14ac:dyDescent="0.25">
      <c r="A22" s="6"/>
      <c r="B22" s="6"/>
      <c r="C22" s="6"/>
      <c r="D22" s="6"/>
      <c r="E22" s="6"/>
      <c r="F22" s="6"/>
      <c r="G22" s="6"/>
      <c r="I22" s="10"/>
    </row>
    <row r="23" spans="1:9" ht="15.75" customHeight="1" x14ac:dyDescent="0.25">
      <c r="A23" s="6"/>
      <c r="B23" s="6"/>
      <c r="C23" s="6"/>
      <c r="D23" s="6"/>
      <c r="E23" s="6"/>
      <c r="F23" s="6"/>
      <c r="G23" s="6"/>
      <c r="I23" s="10"/>
    </row>
    <row r="24" spans="1:9" ht="15.75" customHeight="1" x14ac:dyDescent="0.25">
      <c r="A24" s="6"/>
      <c r="B24" s="6"/>
      <c r="C24" s="6"/>
      <c r="D24" s="6"/>
      <c r="E24" s="6"/>
      <c r="F24" s="6"/>
      <c r="G24" s="6"/>
      <c r="I24" s="10"/>
    </row>
    <row r="25" spans="1:9" ht="15.75" customHeight="1" x14ac:dyDescent="0.25">
      <c r="A25" s="9"/>
      <c r="B25" s="9"/>
      <c r="C25" s="9"/>
      <c r="D25" s="9"/>
      <c r="I25" s="10"/>
    </row>
    <row r="26" spans="1:9" ht="15.75" customHeight="1" x14ac:dyDescent="0.25">
      <c r="A26" s="9"/>
      <c r="B26" s="9"/>
      <c r="C26" s="9"/>
      <c r="D26" s="9"/>
      <c r="I26" s="10"/>
    </row>
    <row r="27" spans="1:9" ht="15.75" customHeight="1" x14ac:dyDescent="0.25">
      <c r="A27" s="93" t="s">
        <v>52</v>
      </c>
      <c r="B27" s="94"/>
      <c r="C27" s="94"/>
      <c r="D27" s="94"/>
      <c r="E27" s="94"/>
      <c r="F27" s="94"/>
      <c r="G27" s="95"/>
      <c r="I27" s="10"/>
    </row>
    <row r="28" spans="1:9" ht="15.75" customHeight="1" x14ac:dyDescent="0.25">
      <c r="A28" s="11" t="s">
        <v>14</v>
      </c>
      <c r="B28" s="11" t="s">
        <v>53</v>
      </c>
      <c r="C28" s="11" t="s">
        <v>16</v>
      </c>
      <c r="D28" s="11" t="s">
        <v>17</v>
      </c>
      <c r="E28" s="12" t="s">
        <v>18</v>
      </c>
      <c r="F28" s="12" t="s">
        <v>19</v>
      </c>
      <c r="G28" s="12" t="s">
        <v>20</v>
      </c>
      <c r="I28" s="10"/>
    </row>
    <row r="29" spans="1:9" ht="15.75" customHeight="1" x14ac:dyDescent="0.25">
      <c r="A29" s="6" t="s">
        <v>54</v>
      </c>
      <c r="B29" s="6" t="s">
        <v>55</v>
      </c>
      <c r="C29" s="6">
        <v>4</v>
      </c>
      <c r="D29" s="6">
        <v>4</v>
      </c>
      <c r="E29" s="13" t="s">
        <v>56</v>
      </c>
      <c r="F29" s="6" t="s">
        <v>29</v>
      </c>
      <c r="G29" s="13" t="s">
        <v>57</v>
      </c>
      <c r="I29" s="10"/>
    </row>
    <row r="30" spans="1:9" ht="15.75" customHeight="1" x14ac:dyDescent="0.25">
      <c r="A30" s="6"/>
      <c r="B30" s="6"/>
      <c r="C30" s="6"/>
      <c r="D30" s="6"/>
      <c r="E30" s="6"/>
      <c r="F30" s="6"/>
      <c r="G30" s="6"/>
      <c r="I30" s="10"/>
    </row>
    <row r="31" spans="1:9" ht="15.75" customHeight="1" x14ac:dyDescent="0.25">
      <c r="A31" s="6"/>
      <c r="B31" s="6"/>
      <c r="C31" s="6"/>
      <c r="D31" s="6"/>
      <c r="E31" s="6"/>
      <c r="F31" s="6"/>
      <c r="G31" s="6"/>
      <c r="I31" s="10"/>
    </row>
    <row r="32" spans="1:9" ht="15.75" customHeight="1" x14ac:dyDescent="0.25">
      <c r="A32" s="6"/>
      <c r="B32" s="6"/>
      <c r="C32" s="6"/>
      <c r="D32" s="6"/>
      <c r="E32" s="6"/>
      <c r="F32" s="6"/>
      <c r="G32" s="6"/>
      <c r="I32" s="10"/>
    </row>
    <row r="33" spans="1:9" ht="15.75" customHeight="1" x14ac:dyDescent="0.25">
      <c r="A33" s="6"/>
      <c r="B33" s="6"/>
      <c r="C33" s="6"/>
      <c r="D33" s="6"/>
      <c r="E33" s="6"/>
      <c r="F33" s="6"/>
      <c r="G33" s="6"/>
      <c r="I33" s="10"/>
    </row>
    <row r="34" spans="1:9" ht="15.75" customHeight="1" x14ac:dyDescent="0.25">
      <c r="A34" s="6"/>
      <c r="B34" s="6"/>
      <c r="C34" s="6"/>
      <c r="D34" s="6"/>
      <c r="E34" s="6"/>
      <c r="F34" s="6"/>
      <c r="G34" s="6"/>
      <c r="I34" s="10"/>
    </row>
    <row r="35" spans="1:9" ht="15.75" customHeight="1" x14ac:dyDescent="0.25">
      <c r="A35" s="6"/>
      <c r="B35" s="6"/>
      <c r="C35" s="6"/>
      <c r="D35" s="6"/>
      <c r="E35" s="6"/>
      <c r="F35" s="6"/>
      <c r="G35" s="6"/>
      <c r="I35" s="10"/>
    </row>
    <row r="36" spans="1:9" ht="15.75" customHeight="1" x14ac:dyDescent="0.25">
      <c r="A36" s="6"/>
      <c r="B36" s="6"/>
      <c r="C36" s="6"/>
      <c r="D36" s="6"/>
      <c r="E36" s="6"/>
      <c r="F36" s="6"/>
      <c r="G36" s="6"/>
      <c r="I36" s="10"/>
    </row>
    <row r="37" spans="1:9" ht="15.75" customHeight="1" x14ac:dyDescent="0.25">
      <c r="A37" s="6"/>
      <c r="B37" s="6"/>
      <c r="C37" s="6"/>
      <c r="D37" s="6"/>
      <c r="E37" s="6"/>
      <c r="F37" s="6"/>
      <c r="G37" s="6"/>
      <c r="I37" s="10"/>
    </row>
    <row r="38" spans="1:9" ht="15.75" customHeight="1" x14ac:dyDescent="0.25">
      <c r="A38" s="6"/>
      <c r="B38" s="6"/>
      <c r="C38" s="6"/>
      <c r="D38" s="6"/>
      <c r="E38" s="6"/>
      <c r="F38" s="6"/>
      <c r="G38" s="6"/>
      <c r="I38" s="10"/>
    </row>
    <row r="39" spans="1:9" ht="15.75" customHeight="1" x14ac:dyDescent="0.25">
      <c r="A39" s="6"/>
      <c r="B39" s="6"/>
      <c r="C39" s="6"/>
      <c r="D39" s="6"/>
      <c r="E39" s="6"/>
      <c r="F39" s="6"/>
      <c r="G39" s="6"/>
      <c r="I39" s="10"/>
    </row>
    <row r="40" spans="1:9" ht="15.75" customHeight="1" x14ac:dyDescent="0.25">
      <c r="A40" s="9"/>
      <c r="B40" s="9"/>
      <c r="C40" s="9"/>
      <c r="D40" s="9"/>
      <c r="I40" s="10"/>
    </row>
    <row r="41" spans="1:9" ht="15.75" customHeight="1" x14ac:dyDescent="0.25">
      <c r="A41" s="9"/>
      <c r="B41" s="9"/>
      <c r="C41" s="9"/>
      <c r="D41" s="9"/>
      <c r="I41" s="10"/>
    </row>
    <row r="42" spans="1:9" ht="15.75" customHeight="1" x14ac:dyDescent="0.25">
      <c r="A42" s="9"/>
      <c r="B42" s="9"/>
      <c r="C42" s="9"/>
      <c r="D42" s="9"/>
      <c r="I42" s="10"/>
    </row>
    <row r="43" spans="1:9" ht="15.75" customHeight="1" x14ac:dyDescent="0.25">
      <c r="A43" s="9"/>
      <c r="B43" s="9"/>
      <c r="C43" s="9"/>
      <c r="D43" s="9"/>
      <c r="I43" s="10"/>
    </row>
    <row r="44" spans="1:9" ht="15.75" customHeight="1" x14ac:dyDescent="0.25">
      <c r="A44" s="9"/>
      <c r="B44" s="9"/>
      <c r="C44" s="9"/>
      <c r="D44" s="9"/>
      <c r="I44" s="10"/>
    </row>
    <row r="45" spans="1:9" ht="15.75" customHeight="1" x14ac:dyDescent="0.25">
      <c r="A45" s="9"/>
      <c r="B45" s="9"/>
      <c r="C45" s="9"/>
      <c r="D45" s="9"/>
      <c r="I45" s="10"/>
    </row>
    <row r="46" spans="1:9" ht="15.75" customHeight="1" x14ac:dyDescent="0.25">
      <c r="A46" s="9"/>
      <c r="B46" s="9"/>
      <c r="C46" s="9"/>
      <c r="D46" s="9"/>
      <c r="I46" s="10"/>
    </row>
    <row r="47" spans="1:9" ht="15.75" customHeight="1" x14ac:dyDescent="0.25">
      <c r="A47" s="9"/>
      <c r="B47" s="9"/>
      <c r="C47" s="9"/>
      <c r="D47" s="9"/>
      <c r="I47" s="10"/>
    </row>
    <row r="48" spans="1:9" ht="15.75" customHeight="1" x14ac:dyDescent="0.25">
      <c r="A48" s="9"/>
      <c r="B48" s="9"/>
      <c r="C48" s="9"/>
      <c r="D48" s="9"/>
      <c r="I48" s="10"/>
    </row>
    <row r="49" spans="1:9" ht="15.75" customHeight="1" x14ac:dyDescent="0.25">
      <c r="A49" s="9"/>
      <c r="B49" s="9"/>
      <c r="C49" s="9"/>
      <c r="D49" s="9"/>
      <c r="I49" s="10"/>
    </row>
    <row r="50" spans="1:9" ht="15.75" customHeight="1" x14ac:dyDescent="0.25">
      <c r="A50" s="9"/>
      <c r="B50" s="9"/>
      <c r="C50" s="9"/>
      <c r="D50" s="9"/>
      <c r="I50" s="10"/>
    </row>
    <row r="51" spans="1:9" ht="15.75" customHeight="1" x14ac:dyDescent="0.25">
      <c r="A51" s="9"/>
      <c r="B51" s="9"/>
      <c r="C51" s="9"/>
      <c r="D51" s="9"/>
      <c r="I51" s="10"/>
    </row>
    <row r="52" spans="1:9" ht="15.75" customHeight="1" x14ac:dyDescent="0.25">
      <c r="A52" s="9"/>
      <c r="B52" s="9"/>
      <c r="C52" s="9"/>
      <c r="D52" s="9"/>
      <c r="I52" s="10"/>
    </row>
    <row r="53" spans="1:9" ht="15.75" customHeight="1" x14ac:dyDescent="0.25">
      <c r="A53" s="9"/>
      <c r="B53" s="9"/>
      <c r="C53" s="9"/>
      <c r="D53" s="9"/>
      <c r="I53" s="10"/>
    </row>
    <row r="54" spans="1:9" ht="15.75" customHeight="1" x14ac:dyDescent="0.25">
      <c r="A54" s="9"/>
      <c r="B54" s="9"/>
      <c r="C54" s="9"/>
      <c r="D54" s="9"/>
      <c r="I54" s="10"/>
    </row>
    <row r="55" spans="1:9" ht="15.75" customHeight="1" x14ac:dyDescent="0.25">
      <c r="A55" s="9"/>
      <c r="B55" s="9"/>
      <c r="C55" s="9"/>
      <c r="D55" s="9"/>
      <c r="I55" s="10"/>
    </row>
    <row r="56" spans="1:9" ht="15.75" customHeight="1" x14ac:dyDescent="0.25">
      <c r="A56" s="9"/>
      <c r="B56" s="9"/>
      <c r="C56" s="9"/>
      <c r="D56" s="9"/>
      <c r="I56" s="10"/>
    </row>
    <row r="57" spans="1:9" ht="15.75" customHeight="1" x14ac:dyDescent="0.25">
      <c r="A57" s="9"/>
      <c r="B57" s="9"/>
      <c r="C57" s="9"/>
      <c r="D57" s="9"/>
      <c r="I57" s="10"/>
    </row>
    <row r="58" spans="1:9" ht="15.75" customHeight="1" x14ac:dyDescent="0.25">
      <c r="A58" s="9"/>
      <c r="B58" s="9"/>
      <c r="C58" s="9"/>
      <c r="D58" s="9"/>
      <c r="I58" s="10"/>
    </row>
    <row r="59" spans="1:9" ht="15.75" customHeight="1" x14ac:dyDescent="0.25">
      <c r="A59" s="9"/>
      <c r="B59" s="9"/>
      <c r="C59" s="9"/>
      <c r="D59" s="9"/>
      <c r="I59" s="10"/>
    </row>
    <row r="60" spans="1:9" ht="15.75" customHeight="1" x14ac:dyDescent="0.25">
      <c r="A60" s="9"/>
      <c r="B60" s="9"/>
      <c r="C60" s="9"/>
      <c r="D60" s="9"/>
      <c r="I60" s="10"/>
    </row>
    <row r="61" spans="1:9" ht="15.75" customHeight="1" x14ac:dyDescent="0.25">
      <c r="A61" s="9"/>
      <c r="B61" s="9"/>
      <c r="C61" s="9"/>
      <c r="D61" s="9"/>
      <c r="I61" s="10"/>
    </row>
    <row r="62" spans="1:9" ht="15.75" customHeight="1" x14ac:dyDescent="0.25">
      <c r="A62" s="9"/>
      <c r="B62" s="9"/>
      <c r="C62" s="9"/>
      <c r="D62" s="9"/>
      <c r="I62" s="10"/>
    </row>
    <row r="63" spans="1:9" ht="15.75" customHeight="1" x14ac:dyDescent="0.25">
      <c r="A63" s="9"/>
      <c r="B63" s="9"/>
      <c r="C63" s="9"/>
      <c r="D63" s="9"/>
      <c r="I63" s="10"/>
    </row>
    <row r="64" spans="1:9" ht="15.75" customHeight="1" x14ac:dyDescent="0.25">
      <c r="A64" s="9"/>
      <c r="B64" s="9"/>
      <c r="C64" s="9"/>
      <c r="D64" s="9"/>
      <c r="I64" s="10"/>
    </row>
    <row r="65" spans="1:9" ht="15.75" customHeight="1" x14ac:dyDescent="0.25">
      <c r="A65" s="9"/>
      <c r="B65" s="9"/>
      <c r="C65" s="9"/>
      <c r="D65" s="9"/>
      <c r="I65" s="10"/>
    </row>
    <row r="66" spans="1:9" ht="15.75" customHeight="1" x14ac:dyDescent="0.25">
      <c r="A66" s="9"/>
      <c r="B66" s="9"/>
      <c r="C66" s="9"/>
      <c r="D66" s="9"/>
      <c r="I66" s="10"/>
    </row>
    <row r="67" spans="1:9" ht="15.75" customHeight="1" x14ac:dyDescent="0.25">
      <c r="A67" s="9"/>
      <c r="B67" s="9"/>
      <c r="C67" s="9"/>
      <c r="D67" s="9"/>
      <c r="I67" s="10"/>
    </row>
    <row r="68" spans="1:9" ht="15.75" customHeight="1" x14ac:dyDescent="0.25">
      <c r="A68" s="9"/>
      <c r="B68" s="9"/>
      <c r="C68" s="9"/>
      <c r="D68" s="9"/>
      <c r="I68" s="10"/>
    </row>
    <row r="69" spans="1:9" ht="15.75" customHeight="1" x14ac:dyDescent="0.25">
      <c r="A69" s="9"/>
      <c r="B69" s="9"/>
      <c r="C69" s="9"/>
      <c r="D69" s="9"/>
      <c r="I69" s="10"/>
    </row>
    <row r="70" spans="1:9" ht="15.75" customHeight="1" x14ac:dyDescent="0.25">
      <c r="A70" s="9"/>
      <c r="B70" s="9"/>
      <c r="C70" s="9"/>
      <c r="D70" s="9"/>
      <c r="I70" s="10"/>
    </row>
    <row r="71" spans="1:9" ht="15.75" customHeight="1" x14ac:dyDescent="0.25">
      <c r="A71" s="9"/>
      <c r="B71" s="9"/>
      <c r="C71" s="9"/>
      <c r="D71" s="9"/>
      <c r="I71" s="10"/>
    </row>
    <row r="72" spans="1:9" ht="15.75" customHeight="1" x14ac:dyDescent="0.25">
      <c r="A72" s="9"/>
      <c r="B72" s="9"/>
      <c r="C72" s="9"/>
      <c r="D72" s="9"/>
      <c r="I72" s="10"/>
    </row>
    <row r="73" spans="1:9" ht="15.75" customHeight="1" x14ac:dyDescent="0.25">
      <c r="A73" s="9"/>
      <c r="B73" s="9"/>
      <c r="C73" s="9"/>
      <c r="D73" s="9"/>
      <c r="I73" s="10"/>
    </row>
    <row r="74" spans="1:9" ht="15.75" customHeight="1" x14ac:dyDescent="0.25">
      <c r="A74" s="9"/>
      <c r="B74" s="9"/>
      <c r="C74" s="9"/>
      <c r="D74" s="9"/>
      <c r="I74" s="10"/>
    </row>
    <row r="75" spans="1:9" ht="15.75" customHeight="1" x14ac:dyDescent="0.25">
      <c r="A75" s="9"/>
      <c r="B75" s="9"/>
      <c r="C75" s="9"/>
      <c r="D75" s="9"/>
      <c r="I75" s="10"/>
    </row>
    <row r="76" spans="1:9" ht="15.75" customHeight="1" x14ac:dyDescent="0.25">
      <c r="A76" s="9"/>
      <c r="B76" s="9"/>
      <c r="C76" s="9"/>
      <c r="D76" s="9"/>
      <c r="I76" s="10"/>
    </row>
    <row r="77" spans="1:9" ht="15.75" customHeight="1" x14ac:dyDescent="0.25">
      <c r="A77" s="9"/>
      <c r="B77" s="9"/>
      <c r="C77" s="9"/>
      <c r="D77" s="9"/>
      <c r="I77" s="10"/>
    </row>
    <row r="78" spans="1:9" ht="15.75" customHeight="1" x14ac:dyDescent="0.25">
      <c r="A78" s="9"/>
      <c r="B78" s="9"/>
      <c r="C78" s="9"/>
      <c r="D78" s="9"/>
      <c r="I78" s="10"/>
    </row>
    <row r="79" spans="1:9" ht="15.75" customHeight="1" x14ac:dyDescent="0.25">
      <c r="A79" s="9"/>
      <c r="B79" s="9"/>
      <c r="C79" s="9"/>
      <c r="D79" s="9"/>
      <c r="I79" s="10"/>
    </row>
    <row r="80" spans="1:9" ht="15.75" customHeight="1" x14ac:dyDescent="0.25">
      <c r="A80" s="9"/>
      <c r="B80" s="9"/>
      <c r="C80" s="9"/>
      <c r="D80" s="9"/>
      <c r="I80" s="10"/>
    </row>
    <row r="81" spans="1:9" ht="15.75" customHeight="1" x14ac:dyDescent="0.25">
      <c r="A81" s="9"/>
      <c r="B81" s="9"/>
      <c r="C81" s="9"/>
      <c r="D81" s="9"/>
      <c r="I81" s="10"/>
    </row>
    <row r="82" spans="1:9" ht="15.75" customHeight="1" x14ac:dyDescent="0.25">
      <c r="A82" s="9"/>
      <c r="B82" s="9"/>
      <c r="C82" s="9"/>
      <c r="D82" s="9"/>
      <c r="I82" s="10"/>
    </row>
    <row r="83" spans="1:9" ht="15.75" customHeight="1" x14ac:dyDescent="0.25">
      <c r="A83" s="9"/>
      <c r="B83" s="9"/>
      <c r="C83" s="9"/>
      <c r="D83" s="9"/>
      <c r="I83" s="10"/>
    </row>
    <row r="84" spans="1:9" ht="15.75" customHeight="1" x14ac:dyDescent="0.25">
      <c r="A84" s="9"/>
      <c r="B84" s="9"/>
      <c r="C84" s="9"/>
      <c r="D84" s="9"/>
      <c r="I84" s="10"/>
    </row>
    <row r="85" spans="1:9" ht="15.75" customHeight="1" x14ac:dyDescent="0.25">
      <c r="A85" s="9"/>
      <c r="B85" s="9"/>
      <c r="C85" s="9"/>
      <c r="D85" s="9"/>
      <c r="I85" s="10"/>
    </row>
    <row r="86" spans="1:9" ht="15.75" customHeight="1" x14ac:dyDescent="0.25">
      <c r="A86" s="9"/>
      <c r="B86" s="9"/>
      <c r="C86" s="9"/>
      <c r="D86" s="9"/>
      <c r="I86" s="10"/>
    </row>
    <row r="87" spans="1:9" ht="15.75" customHeight="1" x14ac:dyDescent="0.25">
      <c r="A87" s="9"/>
      <c r="B87" s="9"/>
      <c r="C87" s="9"/>
      <c r="D87" s="9"/>
      <c r="I87" s="10"/>
    </row>
    <row r="88" spans="1:9" ht="15.75" customHeight="1" x14ac:dyDescent="0.25">
      <c r="A88" s="9"/>
      <c r="B88" s="9"/>
      <c r="C88" s="9"/>
      <c r="D88" s="9"/>
      <c r="I88" s="10"/>
    </row>
    <row r="89" spans="1:9" ht="15.75" customHeight="1" x14ac:dyDescent="0.25">
      <c r="A89" s="9"/>
      <c r="B89" s="9"/>
      <c r="C89" s="9"/>
      <c r="D89" s="9"/>
      <c r="I89" s="10"/>
    </row>
    <row r="90" spans="1:9" ht="15.75" customHeight="1" x14ac:dyDescent="0.25">
      <c r="A90" s="9"/>
      <c r="B90" s="9"/>
      <c r="C90" s="9"/>
      <c r="D90" s="9"/>
      <c r="I90" s="10"/>
    </row>
    <row r="91" spans="1:9" ht="15.75" customHeight="1" x14ac:dyDescent="0.25">
      <c r="A91" s="9"/>
      <c r="B91" s="9"/>
      <c r="C91" s="9"/>
      <c r="D91" s="9"/>
      <c r="I91" s="10"/>
    </row>
    <row r="92" spans="1:9" ht="15.75" customHeight="1" x14ac:dyDescent="0.25">
      <c r="A92" s="9"/>
      <c r="B92" s="9"/>
      <c r="C92" s="9"/>
      <c r="D92" s="9"/>
      <c r="I92" s="10"/>
    </row>
    <row r="93" spans="1:9" ht="15.75" customHeight="1" x14ac:dyDescent="0.25">
      <c r="A93" s="9"/>
      <c r="B93" s="9"/>
      <c r="C93" s="9"/>
      <c r="D93" s="9"/>
      <c r="I93" s="10"/>
    </row>
    <row r="94" spans="1:9" ht="15.75" customHeight="1" x14ac:dyDescent="0.25">
      <c r="A94" s="9"/>
      <c r="B94" s="9"/>
      <c r="C94" s="9"/>
      <c r="D94" s="9"/>
      <c r="I94" s="10"/>
    </row>
    <row r="95" spans="1:9" ht="15.75" customHeight="1" x14ac:dyDescent="0.25">
      <c r="A95" s="9"/>
      <c r="B95" s="9"/>
      <c r="C95" s="9"/>
      <c r="D95" s="9"/>
      <c r="I95" s="10"/>
    </row>
    <row r="96" spans="1:9" ht="15.75" customHeight="1" x14ac:dyDescent="0.25">
      <c r="A96" s="9"/>
      <c r="B96" s="9"/>
      <c r="C96" s="9"/>
      <c r="D96" s="9"/>
      <c r="I96" s="10"/>
    </row>
    <row r="97" spans="1:9" ht="15.75" customHeight="1" x14ac:dyDescent="0.25">
      <c r="A97" s="9"/>
      <c r="B97" s="9"/>
      <c r="C97" s="9"/>
      <c r="D97" s="9"/>
      <c r="I97" s="10"/>
    </row>
    <row r="98" spans="1:9" ht="15.75" customHeight="1" x14ac:dyDescent="0.25">
      <c r="A98" s="9"/>
      <c r="B98" s="9"/>
      <c r="C98" s="9"/>
      <c r="D98" s="9"/>
      <c r="I98" s="10"/>
    </row>
    <row r="99" spans="1:9" ht="15.75" customHeight="1" x14ac:dyDescent="0.25">
      <c r="A99" s="9"/>
      <c r="B99" s="9"/>
      <c r="C99" s="9"/>
      <c r="D99" s="9"/>
      <c r="I99" s="10"/>
    </row>
    <row r="100" spans="1:9" ht="15.75" customHeight="1" x14ac:dyDescent="0.25">
      <c r="A100" s="9"/>
      <c r="B100" s="9"/>
      <c r="C100" s="9"/>
      <c r="D100" s="9"/>
      <c r="I100" s="10"/>
    </row>
    <row r="101" spans="1:9" ht="15.75" customHeight="1" x14ac:dyDescent="0.25">
      <c r="A101" s="9"/>
      <c r="B101" s="9"/>
      <c r="C101" s="9"/>
      <c r="D101" s="9"/>
      <c r="I101" s="10"/>
    </row>
    <row r="102" spans="1:9" ht="15.75" customHeight="1" x14ac:dyDescent="0.25">
      <c r="A102" s="9"/>
      <c r="B102" s="9"/>
      <c r="C102" s="9"/>
      <c r="D102" s="9"/>
      <c r="I102" s="10"/>
    </row>
    <row r="103" spans="1:9" ht="15.75" customHeight="1" x14ac:dyDescent="0.25">
      <c r="A103" s="9"/>
      <c r="B103" s="9"/>
      <c r="C103" s="9"/>
      <c r="D103" s="9"/>
      <c r="I103" s="10"/>
    </row>
    <row r="104" spans="1:9" ht="15.75" customHeight="1" x14ac:dyDescent="0.25">
      <c r="A104" s="9"/>
      <c r="B104" s="9"/>
      <c r="C104" s="9"/>
      <c r="D104" s="9"/>
      <c r="I104" s="10"/>
    </row>
    <row r="105" spans="1:9" ht="15.75" customHeight="1" x14ac:dyDescent="0.25">
      <c r="A105" s="9"/>
      <c r="B105" s="9"/>
      <c r="C105" s="9"/>
      <c r="D105" s="9"/>
      <c r="I105" s="10"/>
    </row>
    <row r="106" spans="1:9" ht="15.75" customHeight="1" x14ac:dyDescent="0.25">
      <c r="A106" s="9"/>
      <c r="B106" s="9"/>
      <c r="C106" s="9"/>
      <c r="D106" s="9"/>
      <c r="I106" s="10"/>
    </row>
    <row r="107" spans="1:9" ht="15.75" customHeight="1" x14ac:dyDescent="0.25">
      <c r="A107" s="9"/>
      <c r="B107" s="9"/>
      <c r="C107" s="9"/>
      <c r="D107" s="9"/>
      <c r="I107" s="10"/>
    </row>
    <row r="108" spans="1:9" ht="15.75" customHeight="1" x14ac:dyDescent="0.25">
      <c r="A108" s="9"/>
      <c r="B108" s="9"/>
      <c r="C108" s="9"/>
      <c r="D108" s="9"/>
      <c r="I108" s="10"/>
    </row>
    <row r="109" spans="1:9" ht="15.75" customHeight="1" x14ac:dyDescent="0.25">
      <c r="A109" s="9"/>
      <c r="B109" s="9"/>
      <c r="C109" s="9"/>
      <c r="D109" s="9"/>
      <c r="I109" s="10"/>
    </row>
    <row r="110" spans="1:9" ht="15.75" customHeight="1" x14ac:dyDescent="0.25">
      <c r="A110" s="9"/>
      <c r="B110" s="9"/>
      <c r="C110" s="9"/>
      <c r="D110" s="9"/>
      <c r="I110" s="10"/>
    </row>
    <row r="111" spans="1:9" ht="15.75" customHeight="1" x14ac:dyDescent="0.25">
      <c r="A111" s="9"/>
      <c r="B111" s="9"/>
      <c r="C111" s="9"/>
      <c r="D111" s="9"/>
      <c r="I111" s="10"/>
    </row>
    <row r="112" spans="1:9" ht="15.75" customHeight="1" x14ac:dyDescent="0.25">
      <c r="A112" s="9"/>
      <c r="B112" s="9"/>
      <c r="C112" s="9"/>
      <c r="D112" s="9"/>
      <c r="I112" s="10"/>
    </row>
    <row r="113" spans="1:9" ht="15.75" customHeight="1" x14ac:dyDescent="0.25">
      <c r="A113" s="9"/>
      <c r="B113" s="9"/>
      <c r="C113" s="9"/>
      <c r="D113" s="9"/>
      <c r="I113" s="10"/>
    </row>
    <row r="114" spans="1:9" ht="15.75" customHeight="1" x14ac:dyDescent="0.25">
      <c r="A114" s="9"/>
      <c r="B114" s="9"/>
      <c r="C114" s="9"/>
      <c r="D114" s="9"/>
      <c r="I114" s="10"/>
    </row>
    <row r="115" spans="1:9" ht="15.75" customHeight="1" x14ac:dyDescent="0.25">
      <c r="A115" s="9"/>
      <c r="B115" s="9"/>
      <c r="C115" s="9"/>
      <c r="D115" s="9"/>
      <c r="I115" s="10"/>
    </row>
    <row r="116" spans="1:9" ht="15.75" customHeight="1" x14ac:dyDescent="0.25">
      <c r="A116" s="9"/>
      <c r="B116" s="9"/>
      <c r="C116" s="9"/>
      <c r="D116" s="9"/>
      <c r="I116" s="10"/>
    </row>
    <row r="117" spans="1:9" ht="15.75" customHeight="1" x14ac:dyDescent="0.25">
      <c r="A117" s="9"/>
      <c r="B117" s="9"/>
      <c r="C117" s="9"/>
      <c r="D117" s="9"/>
      <c r="I117" s="10"/>
    </row>
    <row r="118" spans="1:9" ht="15.75" customHeight="1" x14ac:dyDescent="0.25">
      <c r="A118" s="9"/>
      <c r="B118" s="9"/>
      <c r="C118" s="9"/>
      <c r="D118" s="9"/>
      <c r="I118" s="10"/>
    </row>
    <row r="119" spans="1:9" ht="15.75" customHeight="1" x14ac:dyDescent="0.25">
      <c r="A119" s="9"/>
      <c r="B119" s="9"/>
      <c r="C119" s="9"/>
      <c r="D119" s="9"/>
      <c r="I119" s="10"/>
    </row>
    <row r="120" spans="1:9" ht="15.75" customHeight="1" x14ac:dyDescent="0.25">
      <c r="A120" s="9"/>
      <c r="B120" s="9"/>
      <c r="C120" s="9"/>
      <c r="D120" s="9"/>
      <c r="I120" s="10"/>
    </row>
    <row r="121" spans="1:9" ht="15.75" customHeight="1" x14ac:dyDescent="0.25">
      <c r="A121" s="9"/>
      <c r="B121" s="9"/>
      <c r="C121" s="9"/>
      <c r="D121" s="9"/>
      <c r="I121" s="10"/>
    </row>
    <row r="122" spans="1:9" ht="15.75" customHeight="1" x14ac:dyDescent="0.25">
      <c r="A122" s="9"/>
      <c r="B122" s="9"/>
      <c r="C122" s="9"/>
      <c r="D122" s="9"/>
      <c r="I122" s="10"/>
    </row>
    <row r="123" spans="1:9" ht="15.75" customHeight="1" x14ac:dyDescent="0.25">
      <c r="A123" s="9"/>
      <c r="B123" s="9"/>
      <c r="C123" s="9"/>
      <c r="D123" s="9"/>
      <c r="I123" s="10"/>
    </row>
    <row r="124" spans="1:9" ht="15.75" customHeight="1" x14ac:dyDescent="0.25">
      <c r="A124" s="9"/>
      <c r="B124" s="9"/>
      <c r="C124" s="9"/>
      <c r="D124" s="9"/>
      <c r="I124" s="10"/>
    </row>
    <row r="125" spans="1:9" ht="15.75" customHeight="1" x14ac:dyDescent="0.25">
      <c r="A125" s="9"/>
      <c r="B125" s="9"/>
      <c r="C125" s="9"/>
      <c r="D125" s="9"/>
      <c r="I125" s="10"/>
    </row>
    <row r="126" spans="1:9" ht="15.75" customHeight="1" x14ac:dyDescent="0.25">
      <c r="A126" s="9"/>
      <c r="B126" s="9"/>
      <c r="C126" s="9"/>
      <c r="D126" s="9"/>
      <c r="I126" s="10"/>
    </row>
    <row r="127" spans="1:9" ht="15.75" customHeight="1" x14ac:dyDescent="0.25">
      <c r="A127" s="9"/>
      <c r="B127" s="9"/>
      <c r="C127" s="9"/>
      <c r="D127" s="9"/>
      <c r="I127" s="10"/>
    </row>
    <row r="128" spans="1:9" ht="15.75" customHeight="1" x14ac:dyDescent="0.25">
      <c r="A128" s="9"/>
      <c r="B128" s="9"/>
      <c r="C128" s="9"/>
      <c r="D128" s="9"/>
      <c r="I128" s="10"/>
    </row>
    <row r="129" spans="1:9" ht="15.75" customHeight="1" x14ac:dyDescent="0.25">
      <c r="A129" s="9"/>
      <c r="B129" s="9"/>
      <c r="C129" s="9"/>
      <c r="D129" s="9"/>
      <c r="I129" s="10"/>
    </row>
    <row r="130" spans="1:9" ht="15.75" customHeight="1" x14ac:dyDescent="0.25">
      <c r="A130" s="9"/>
      <c r="B130" s="9"/>
      <c r="C130" s="9"/>
      <c r="D130" s="9"/>
      <c r="I130" s="10"/>
    </row>
    <row r="131" spans="1:9" ht="15.75" customHeight="1" x14ac:dyDescent="0.25">
      <c r="A131" s="9"/>
      <c r="B131" s="9"/>
      <c r="C131" s="9"/>
      <c r="D131" s="9"/>
      <c r="I131" s="10"/>
    </row>
    <row r="132" spans="1:9" ht="15.75" customHeight="1" x14ac:dyDescent="0.25">
      <c r="A132" s="9"/>
      <c r="B132" s="9"/>
      <c r="C132" s="9"/>
      <c r="D132" s="9"/>
      <c r="I132" s="10"/>
    </row>
    <row r="133" spans="1:9" ht="15.75" customHeight="1" x14ac:dyDescent="0.25">
      <c r="A133" s="9"/>
      <c r="B133" s="9"/>
      <c r="C133" s="9"/>
      <c r="D133" s="9"/>
      <c r="I133" s="10"/>
    </row>
    <row r="134" spans="1:9" ht="15.75" customHeight="1" x14ac:dyDescent="0.25">
      <c r="A134" s="9"/>
      <c r="B134" s="9"/>
      <c r="C134" s="9"/>
      <c r="D134" s="9"/>
      <c r="I134" s="10"/>
    </row>
    <row r="135" spans="1:9" ht="15.75" customHeight="1" x14ac:dyDescent="0.25">
      <c r="A135" s="9"/>
      <c r="B135" s="9"/>
      <c r="C135" s="9"/>
      <c r="D135" s="9"/>
      <c r="I135" s="10"/>
    </row>
    <row r="136" spans="1:9" ht="15.75" customHeight="1" x14ac:dyDescent="0.25">
      <c r="A136" s="9"/>
      <c r="B136" s="9"/>
      <c r="C136" s="9"/>
      <c r="D136" s="9"/>
      <c r="I136" s="10"/>
    </row>
    <row r="137" spans="1:9" ht="15.75" customHeight="1" x14ac:dyDescent="0.25">
      <c r="A137" s="9"/>
      <c r="B137" s="9"/>
      <c r="C137" s="9"/>
      <c r="D137" s="9"/>
      <c r="I137" s="10"/>
    </row>
    <row r="138" spans="1:9" ht="15.75" customHeight="1" x14ac:dyDescent="0.25">
      <c r="A138" s="9"/>
      <c r="B138" s="9"/>
      <c r="C138" s="9"/>
      <c r="D138" s="9"/>
      <c r="I138" s="10"/>
    </row>
    <row r="139" spans="1:9" ht="15.75" customHeight="1" x14ac:dyDescent="0.25">
      <c r="A139" s="9"/>
      <c r="B139" s="9"/>
      <c r="C139" s="9"/>
      <c r="D139" s="9"/>
      <c r="I139" s="10"/>
    </row>
    <row r="140" spans="1:9" ht="15.75" customHeight="1" x14ac:dyDescent="0.25">
      <c r="A140" s="9"/>
      <c r="B140" s="9"/>
      <c r="C140" s="9"/>
      <c r="D140" s="9"/>
      <c r="I140" s="10"/>
    </row>
    <row r="141" spans="1:9" ht="15.75" customHeight="1" x14ac:dyDescent="0.25">
      <c r="A141" s="9"/>
      <c r="B141" s="9"/>
      <c r="C141" s="9"/>
      <c r="D141" s="9"/>
      <c r="I141" s="10"/>
    </row>
    <row r="142" spans="1:9" ht="15.75" customHeight="1" x14ac:dyDescent="0.25">
      <c r="A142" s="9"/>
      <c r="B142" s="9"/>
      <c r="C142" s="9"/>
      <c r="D142" s="9"/>
      <c r="I142" s="10"/>
    </row>
    <row r="143" spans="1:9" ht="15.75" customHeight="1" x14ac:dyDescent="0.25">
      <c r="A143" s="9"/>
      <c r="B143" s="9"/>
      <c r="C143" s="9"/>
      <c r="D143" s="9"/>
      <c r="I143" s="10"/>
    </row>
    <row r="144" spans="1:9" ht="15.75" customHeight="1" x14ac:dyDescent="0.25">
      <c r="A144" s="9"/>
      <c r="B144" s="9"/>
      <c r="C144" s="9"/>
      <c r="D144" s="9"/>
      <c r="I144" s="10"/>
    </row>
    <row r="145" spans="1:9" ht="15.75" customHeight="1" x14ac:dyDescent="0.25">
      <c r="A145" s="9"/>
      <c r="B145" s="9"/>
      <c r="C145" s="9"/>
      <c r="D145" s="9"/>
      <c r="I145" s="10"/>
    </row>
    <row r="146" spans="1:9" ht="15.75" customHeight="1" x14ac:dyDescent="0.25">
      <c r="A146" s="9"/>
      <c r="B146" s="9"/>
      <c r="C146" s="9"/>
      <c r="D146" s="9"/>
      <c r="I146" s="10"/>
    </row>
    <row r="147" spans="1:9" ht="15.75" customHeight="1" x14ac:dyDescent="0.25">
      <c r="A147" s="9"/>
      <c r="B147" s="9"/>
      <c r="C147" s="9"/>
      <c r="D147" s="9"/>
      <c r="I147" s="10"/>
    </row>
    <row r="148" spans="1:9" ht="15.75" customHeight="1" x14ac:dyDescent="0.25">
      <c r="A148" s="9"/>
      <c r="B148" s="9"/>
      <c r="C148" s="9"/>
      <c r="D148" s="9"/>
      <c r="I148" s="10"/>
    </row>
    <row r="149" spans="1:9" ht="15.75" customHeight="1" x14ac:dyDescent="0.25">
      <c r="A149" s="9"/>
      <c r="B149" s="9"/>
      <c r="C149" s="9"/>
      <c r="D149" s="9"/>
      <c r="I149" s="10"/>
    </row>
    <row r="150" spans="1:9" ht="15.75" customHeight="1" x14ac:dyDescent="0.25">
      <c r="A150" s="9"/>
      <c r="B150" s="9"/>
      <c r="C150" s="9"/>
      <c r="D150" s="9"/>
      <c r="I150" s="10"/>
    </row>
    <row r="151" spans="1:9" ht="15.75" customHeight="1" x14ac:dyDescent="0.25">
      <c r="A151" s="9"/>
      <c r="B151" s="9"/>
      <c r="C151" s="9"/>
      <c r="D151" s="9"/>
      <c r="I151" s="10"/>
    </row>
    <row r="152" spans="1:9" ht="15.75" customHeight="1" x14ac:dyDescent="0.25">
      <c r="A152" s="9"/>
      <c r="B152" s="9"/>
      <c r="C152" s="9"/>
      <c r="D152" s="9"/>
      <c r="I152" s="10"/>
    </row>
    <row r="153" spans="1:9" ht="15.75" customHeight="1" x14ac:dyDescent="0.25">
      <c r="A153" s="9"/>
      <c r="B153" s="9"/>
      <c r="C153" s="9"/>
      <c r="D153" s="9"/>
      <c r="I153" s="10"/>
    </row>
    <row r="154" spans="1:9" ht="15.75" customHeight="1" x14ac:dyDescent="0.25">
      <c r="A154" s="9"/>
      <c r="B154" s="9"/>
      <c r="C154" s="9"/>
      <c r="D154" s="9"/>
      <c r="I154" s="10"/>
    </row>
    <row r="155" spans="1:9" ht="15.75" customHeight="1" x14ac:dyDescent="0.25">
      <c r="A155" s="9"/>
      <c r="B155" s="9"/>
      <c r="C155" s="9"/>
      <c r="D155" s="9"/>
      <c r="I155" s="10"/>
    </row>
    <row r="156" spans="1:9" ht="15.75" customHeight="1" x14ac:dyDescent="0.25">
      <c r="A156" s="9"/>
      <c r="B156" s="9"/>
      <c r="C156" s="9"/>
      <c r="D156" s="9"/>
      <c r="I156" s="10"/>
    </row>
    <row r="157" spans="1:9" ht="15.75" customHeight="1" x14ac:dyDescent="0.25">
      <c r="A157" s="9"/>
      <c r="B157" s="9"/>
      <c r="C157" s="9"/>
      <c r="D157" s="9"/>
      <c r="I157" s="10"/>
    </row>
    <row r="158" spans="1:9" ht="15.75" customHeight="1" x14ac:dyDescent="0.25">
      <c r="A158" s="9"/>
      <c r="B158" s="9"/>
      <c r="C158" s="9"/>
      <c r="D158" s="9"/>
      <c r="I158" s="10"/>
    </row>
    <row r="159" spans="1:9" ht="15.75" customHeight="1" x14ac:dyDescent="0.25">
      <c r="A159" s="9"/>
      <c r="B159" s="9"/>
      <c r="C159" s="9"/>
      <c r="D159" s="9"/>
      <c r="I159" s="10"/>
    </row>
    <row r="160" spans="1:9" ht="15.75" customHeight="1" x14ac:dyDescent="0.25">
      <c r="A160" s="9"/>
      <c r="B160" s="9"/>
      <c r="C160" s="9"/>
      <c r="D160" s="9"/>
      <c r="I160" s="10"/>
    </row>
    <row r="161" spans="1:9" ht="15.75" customHeight="1" x14ac:dyDescent="0.25">
      <c r="A161" s="9"/>
      <c r="B161" s="9"/>
      <c r="C161" s="9"/>
      <c r="D161" s="9"/>
      <c r="I161" s="10"/>
    </row>
    <row r="162" spans="1:9" ht="15.75" customHeight="1" x14ac:dyDescent="0.25">
      <c r="A162" s="9"/>
      <c r="B162" s="9"/>
      <c r="C162" s="9"/>
      <c r="D162" s="9"/>
      <c r="I162" s="10"/>
    </row>
    <row r="163" spans="1:9" ht="15.75" customHeight="1" x14ac:dyDescent="0.25">
      <c r="A163" s="9"/>
      <c r="B163" s="9"/>
      <c r="C163" s="9"/>
      <c r="D163" s="9"/>
      <c r="I163" s="10"/>
    </row>
    <row r="164" spans="1:9" ht="15.75" customHeight="1" x14ac:dyDescent="0.25">
      <c r="A164" s="9"/>
      <c r="B164" s="9"/>
      <c r="C164" s="9"/>
      <c r="D164" s="9"/>
      <c r="I164" s="10"/>
    </row>
    <row r="165" spans="1:9" ht="15.75" customHeight="1" x14ac:dyDescent="0.25">
      <c r="A165" s="9"/>
      <c r="B165" s="9"/>
      <c r="C165" s="9"/>
      <c r="D165" s="9"/>
      <c r="I165" s="10"/>
    </row>
    <row r="166" spans="1:9" ht="15.75" customHeight="1" x14ac:dyDescent="0.25">
      <c r="A166" s="9"/>
      <c r="B166" s="9"/>
      <c r="C166" s="9"/>
      <c r="D166" s="9"/>
      <c r="I166" s="10"/>
    </row>
    <row r="167" spans="1:9" ht="15.75" customHeight="1" x14ac:dyDescent="0.25">
      <c r="A167" s="9"/>
      <c r="B167" s="9"/>
      <c r="C167" s="9"/>
      <c r="D167" s="9"/>
      <c r="I167" s="10"/>
    </row>
    <row r="168" spans="1:9" ht="15.75" customHeight="1" x14ac:dyDescent="0.25">
      <c r="A168" s="9"/>
      <c r="B168" s="9"/>
      <c r="C168" s="9"/>
      <c r="D168" s="9"/>
      <c r="I168" s="10"/>
    </row>
    <row r="169" spans="1:9" ht="15.75" customHeight="1" x14ac:dyDescent="0.25">
      <c r="A169" s="9"/>
      <c r="B169" s="9"/>
      <c r="C169" s="9"/>
      <c r="D169" s="9"/>
      <c r="I169" s="10"/>
    </row>
    <row r="170" spans="1:9" ht="15.75" customHeight="1" x14ac:dyDescent="0.25">
      <c r="A170" s="9"/>
      <c r="B170" s="9"/>
      <c r="C170" s="9"/>
      <c r="D170" s="9"/>
      <c r="I170" s="10"/>
    </row>
    <row r="171" spans="1:9" ht="15.75" customHeight="1" x14ac:dyDescent="0.25">
      <c r="A171" s="9"/>
      <c r="B171" s="9"/>
      <c r="C171" s="9"/>
      <c r="D171" s="9"/>
      <c r="I171" s="10"/>
    </row>
    <row r="172" spans="1:9" ht="15.75" customHeight="1" x14ac:dyDescent="0.25">
      <c r="A172" s="9"/>
      <c r="B172" s="9"/>
      <c r="C172" s="9"/>
      <c r="D172" s="9"/>
      <c r="I172" s="10"/>
    </row>
    <row r="173" spans="1:9" ht="15.75" customHeight="1" x14ac:dyDescent="0.25">
      <c r="A173" s="9"/>
      <c r="B173" s="9"/>
      <c r="C173" s="9"/>
      <c r="D173" s="9"/>
      <c r="I173" s="10"/>
    </row>
    <row r="174" spans="1:9" ht="15.75" customHeight="1" x14ac:dyDescent="0.25">
      <c r="A174" s="9"/>
      <c r="B174" s="9"/>
      <c r="C174" s="9"/>
      <c r="D174" s="9"/>
      <c r="I174" s="10"/>
    </row>
    <row r="175" spans="1:9" ht="15.75" customHeight="1" x14ac:dyDescent="0.25">
      <c r="A175" s="9"/>
      <c r="B175" s="9"/>
      <c r="C175" s="9"/>
      <c r="D175" s="9"/>
      <c r="I175" s="10"/>
    </row>
    <row r="176" spans="1:9" ht="15.75" customHeight="1" x14ac:dyDescent="0.25">
      <c r="A176" s="9"/>
      <c r="B176" s="9"/>
      <c r="C176" s="9"/>
      <c r="D176" s="9"/>
      <c r="I176" s="10"/>
    </row>
    <row r="177" spans="1:9" ht="15.75" customHeight="1" x14ac:dyDescent="0.25">
      <c r="A177" s="9"/>
      <c r="B177" s="9"/>
      <c r="C177" s="9"/>
      <c r="D177" s="9"/>
      <c r="I177" s="10"/>
    </row>
    <row r="178" spans="1:9" ht="15.75" customHeight="1" x14ac:dyDescent="0.25">
      <c r="A178" s="9"/>
      <c r="B178" s="9"/>
      <c r="C178" s="9"/>
      <c r="D178" s="9"/>
      <c r="I178" s="10"/>
    </row>
    <row r="179" spans="1:9" ht="15.75" customHeight="1" x14ac:dyDescent="0.25">
      <c r="A179" s="9"/>
      <c r="B179" s="9"/>
      <c r="C179" s="9"/>
      <c r="D179" s="9"/>
      <c r="I179" s="10"/>
    </row>
    <row r="180" spans="1:9" ht="15.75" customHeight="1" x14ac:dyDescent="0.25">
      <c r="A180" s="9"/>
      <c r="B180" s="9"/>
      <c r="C180" s="9"/>
      <c r="D180" s="9"/>
      <c r="I180" s="10"/>
    </row>
    <row r="181" spans="1:9" ht="15.75" customHeight="1" x14ac:dyDescent="0.25">
      <c r="A181" s="9"/>
      <c r="B181" s="9"/>
      <c r="C181" s="9"/>
      <c r="D181" s="9"/>
      <c r="I181" s="10"/>
    </row>
    <row r="182" spans="1:9" ht="15.75" customHeight="1" x14ac:dyDescent="0.25">
      <c r="A182" s="9"/>
      <c r="B182" s="9"/>
      <c r="C182" s="9"/>
      <c r="D182" s="9"/>
      <c r="I182" s="10"/>
    </row>
    <row r="183" spans="1:9" ht="15.75" customHeight="1" x14ac:dyDescent="0.25">
      <c r="A183" s="9"/>
      <c r="B183" s="9"/>
      <c r="C183" s="9"/>
      <c r="D183" s="9"/>
      <c r="I183" s="10"/>
    </row>
    <row r="184" spans="1:9" ht="15.75" customHeight="1" x14ac:dyDescent="0.25">
      <c r="A184" s="9"/>
      <c r="B184" s="9"/>
      <c r="C184" s="9"/>
      <c r="D184" s="9"/>
      <c r="I184" s="10"/>
    </row>
    <row r="185" spans="1:9" ht="15.75" customHeight="1" x14ac:dyDescent="0.25">
      <c r="A185" s="9"/>
      <c r="B185" s="9"/>
      <c r="C185" s="9"/>
      <c r="D185" s="9"/>
      <c r="I185" s="10"/>
    </row>
    <row r="186" spans="1:9" ht="15.75" customHeight="1" x14ac:dyDescent="0.25">
      <c r="A186" s="9"/>
      <c r="B186" s="9"/>
      <c r="C186" s="9"/>
      <c r="D186" s="9"/>
      <c r="I186" s="10"/>
    </row>
    <row r="187" spans="1:9" ht="15.75" customHeight="1" x14ac:dyDescent="0.25">
      <c r="A187" s="9"/>
      <c r="B187" s="9"/>
      <c r="C187" s="9"/>
      <c r="D187" s="9"/>
      <c r="I187" s="10"/>
    </row>
    <row r="188" spans="1:9" ht="15.75" customHeight="1" x14ac:dyDescent="0.25">
      <c r="A188" s="9"/>
      <c r="B188" s="9"/>
      <c r="C188" s="9"/>
      <c r="D188" s="9"/>
      <c r="I188" s="10"/>
    </row>
    <row r="189" spans="1:9" ht="15.75" customHeight="1" x14ac:dyDescent="0.25">
      <c r="A189" s="9"/>
      <c r="B189" s="9"/>
      <c r="C189" s="9"/>
      <c r="D189" s="9"/>
      <c r="I189" s="10"/>
    </row>
    <row r="190" spans="1:9" ht="15.75" customHeight="1" x14ac:dyDescent="0.25">
      <c r="A190" s="9"/>
      <c r="B190" s="9"/>
      <c r="C190" s="9"/>
      <c r="D190" s="9"/>
      <c r="I190" s="10"/>
    </row>
    <row r="191" spans="1:9" ht="15.75" customHeight="1" x14ac:dyDescent="0.25">
      <c r="A191" s="9"/>
      <c r="B191" s="9"/>
      <c r="C191" s="9"/>
      <c r="D191" s="9"/>
      <c r="I191" s="10"/>
    </row>
    <row r="192" spans="1:9" ht="15.75" customHeight="1" x14ac:dyDescent="0.25">
      <c r="A192" s="9"/>
      <c r="B192" s="9"/>
      <c r="C192" s="9"/>
      <c r="D192" s="9"/>
      <c r="I192" s="10"/>
    </row>
    <row r="193" spans="1:9" ht="15.75" customHeight="1" x14ac:dyDescent="0.25">
      <c r="A193" s="9"/>
      <c r="B193" s="9"/>
      <c r="C193" s="9"/>
      <c r="D193" s="9"/>
      <c r="I193" s="10"/>
    </row>
    <row r="194" spans="1:9" ht="15.75" customHeight="1" x14ac:dyDescent="0.25">
      <c r="A194" s="9"/>
      <c r="B194" s="9"/>
      <c r="C194" s="9"/>
      <c r="D194" s="9"/>
      <c r="I194" s="10"/>
    </row>
    <row r="195" spans="1:9" ht="15.75" customHeight="1" x14ac:dyDescent="0.25">
      <c r="A195" s="9"/>
      <c r="B195" s="9"/>
      <c r="C195" s="9"/>
      <c r="D195" s="9"/>
      <c r="I195" s="10"/>
    </row>
    <row r="196" spans="1:9" ht="15.75" customHeight="1" x14ac:dyDescent="0.25">
      <c r="A196" s="9"/>
      <c r="B196" s="9"/>
      <c r="C196" s="9"/>
      <c r="D196" s="9"/>
      <c r="I196" s="10"/>
    </row>
    <row r="197" spans="1:9" ht="15.75" customHeight="1" x14ac:dyDescent="0.25">
      <c r="A197" s="9"/>
      <c r="B197" s="9"/>
      <c r="C197" s="9"/>
      <c r="D197" s="9"/>
      <c r="I197" s="10"/>
    </row>
    <row r="198" spans="1:9" ht="15.75" customHeight="1" x14ac:dyDescent="0.25">
      <c r="A198" s="9"/>
      <c r="B198" s="9"/>
      <c r="C198" s="9"/>
      <c r="D198" s="9"/>
      <c r="I198" s="10"/>
    </row>
    <row r="199" spans="1:9" ht="15.75" customHeight="1" x14ac:dyDescent="0.25">
      <c r="A199" s="9"/>
      <c r="B199" s="9"/>
      <c r="C199" s="9"/>
      <c r="D199" s="9"/>
      <c r="I199" s="10"/>
    </row>
    <row r="200" spans="1:9" ht="15.75" customHeight="1" x14ac:dyDescent="0.25">
      <c r="A200" s="9"/>
      <c r="B200" s="9"/>
      <c r="C200" s="9"/>
      <c r="D200" s="9"/>
      <c r="I200" s="10"/>
    </row>
    <row r="201" spans="1:9" ht="15.75" customHeight="1" x14ac:dyDescent="0.25">
      <c r="A201" s="9"/>
      <c r="B201" s="9"/>
      <c r="C201" s="9"/>
      <c r="D201" s="9"/>
      <c r="I201" s="10"/>
    </row>
    <row r="202" spans="1:9" ht="15.75" customHeight="1" x14ac:dyDescent="0.25">
      <c r="A202" s="9"/>
      <c r="B202" s="9"/>
      <c r="C202" s="9"/>
      <c r="D202" s="9"/>
      <c r="I202" s="10"/>
    </row>
    <row r="203" spans="1:9" ht="15.75" customHeight="1" x14ac:dyDescent="0.25">
      <c r="A203" s="9"/>
      <c r="B203" s="9"/>
      <c r="C203" s="9"/>
      <c r="D203" s="9"/>
      <c r="I203" s="10"/>
    </row>
    <row r="204" spans="1:9" ht="15.75" customHeight="1" x14ac:dyDescent="0.25">
      <c r="A204" s="9"/>
      <c r="B204" s="9"/>
      <c r="C204" s="9"/>
      <c r="D204" s="9"/>
      <c r="I204" s="10"/>
    </row>
    <row r="205" spans="1:9" ht="15.75" customHeight="1" x14ac:dyDescent="0.25">
      <c r="A205" s="9"/>
      <c r="B205" s="9"/>
      <c r="C205" s="9"/>
      <c r="D205" s="9"/>
      <c r="I205" s="10"/>
    </row>
    <row r="206" spans="1:9" ht="15.75" customHeight="1" x14ac:dyDescent="0.25">
      <c r="A206" s="9"/>
      <c r="B206" s="9"/>
      <c r="C206" s="9"/>
      <c r="D206" s="9"/>
      <c r="I206" s="10"/>
    </row>
    <row r="207" spans="1:9" ht="15.75" customHeight="1" x14ac:dyDescent="0.25">
      <c r="A207" s="9"/>
      <c r="B207" s="9"/>
      <c r="C207" s="9"/>
      <c r="D207" s="9"/>
      <c r="I207" s="10"/>
    </row>
    <row r="208" spans="1:9" ht="15.75" customHeight="1" x14ac:dyDescent="0.25">
      <c r="A208" s="9"/>
      <c r="B208" s="9"/>
      <c r="C208" s="9"/>
      <c r="D208" s="9"/>
      <c r="I208" s="10"/>
    </row>
    <row r="209" spans="1:9" ht="15.75" customHeight="1" x14ac:dyDescent="0.25">
      <c r="A209" s="9"/>
      <c r="B209" s="9"/>
      <c r="C209" s="9"/>
      <c r="D209" s="9"/>
      <c r="I209" s="10"/>
    </row>
    <row r="210" spans="1:9" ht="15.75" customHeight="1" x14ac:dyDescent="0.25">
      <c r="A210" s="9"/>
      <c r="B210" s="9"/>
      <c r="C210" s="9"/>
      <c r="D210" s="9"/>
      <c r="I210" s="10"/>
    </row>
    <row r="211" spans="1:9" ht="15.75" customHeight="1" x14ac:dyDescent="0.25">
      <c r="A211" s="9"/>
      <c r="B211" s="9"/>
      <c r="C211" s="9"/>
      <c r="D211" s="9"/>
      <c r="I211" s="10"/>
    </row>
    <row r="212" spans="1:9" ht="15.75" customHeight="1" x14ac:dyDescent="0.25">
      <c r="A212" s="9"/>
      <c r="B212" s="9"/>
      <c r="C212" s="9"/>
      <c r="D212" s="9"/>
      <c r="I212" s="10"/>
    </row>
    <row r="213" spans="1:9" ht="15.75" customHeight="1" x14ac:dyDescent="0.25">
      <c r="A213" s="9"/>
      <c r="B213" s="9"/>
      <c r="C213" s="9"/>
      <c r="D213" s="9"/>
      <c r="I213" s="10"/>
    </row>
    <row r="214" spans="1:9" ht="15.75" customHeight="1" x14ac:dyDescent="0.25">
      <c r="A214" s="9"/>
      <c r="B214" s="9"/>
      <c r="C214" s="9"/>
      <c r="D214" s="9"/>
      <c r="I214" s="10"/>
    </row>
    <row r="215" spans="1:9" ht="15.75" customHeight="1" x14ac:dyDescent="0.25">
      <c r="A215" s="9"/>
      <c r="B215" s="9"/>
      <c r="C215" s="9"/>
      <c r="D215" s="9"/>
      <c r="I215" s="10"/>
    </row>
    <row r="216" spans="1:9" ht="15.75" customHeight="1" x14ac:dyDescent="0.25">
      <c r="A216" s="9"/>
      <c r="B216" s="9"/>
      <c r="C216" s="9"/>
      <c r="D216" s="9"/>
      <c r="I216" s="10"/>
    </row>
    <row r="217" spans="1:9" ht="15.75" customHeight="1" x14ac:dyDescent="0.25">
      <c r="A217" s="9"/>
      <c r="B217" s="9"/>
      <c r="C217" s="9"/>
      <c r="D217" s="9"/>
      <c r="I217" s="10"/>
    </row>
    <row r="218" spans="1:9" ht="15.75" customHeight="1" x14ac:dyDescent="0.25">
      <c r="A218" s="9"/>
      <c r="B218" s="9"/>
      <c r="C218" s="9"/>
      <c r="D218" s="9"/>
      <c r="I218" s="10"/>
    </row>
    <row r="219" spans="1:9" ht="15.75" customHeight="1" x14ac:dyDescent="0.25">
      <c r="A219" s="9"/>
      <c r="B219" s="9"/>
      <c r="C219" s="9"/>
      <c r="D219" s="9"/>
      <c r="I219" s="10"/>
    </row>
    <row r="220" spans="1:9" ht="15.75" customHeight="1" x14ac:dyDescent="0.25">
      <c r="A220" s="9"/>
      <c r="B220" s="9"/>
      <c r="C220" s="9"/>
      <c r="D220" s="9"/>
      <c r="I220" s="10"/>
    </row>
    <row r="221" spans="1:9" ht="15.75" customHeight="1" x14ac:dyDescent="0.25">
      <c r="A221" s="9"/>
      <c r="B221" s="9"/>
      <c r="C221" s="9"/>
      <c r="D221" s="9"/>
      <c r="I221" s="10"/>
    </row>
    <row r="222" spans="1:9" ht="15.75" customHeight="1" x14ac:dyDescent="0.25">
      <c r="A222" s="9"/>
      <c r="B222" s="9"/>
      <c r="C222" s="9"/>
      <c r="D222" s="9"/>
      <c r="I222" s="10"/>
    </row>
    <row r="223" spans="1:9" ht="15.75" customHeight="1" x14ac:dyDescent="0.25">
      <c r="A223" s="9"/>
      <c r="B223" s="9"/>
      <c r="C223" s="9"/>
      <c r="D223" s="9"/>
      <c r="I223" s="10"/>
    </row>
    <row r="224" spans="1:9" ht="15.75" customHeight="1" x14ac:dyDescent="0.25">
      <c r="A224" s="9"/>
      <c r="B224" s="9"/>
      <c r="C224" s="9"/>
      <c r="D224" s="9"/>
      <c r="I224" s="10"/>
    </row>
    <row r="225" spans="1:9" ht="15.75" customHeight="1" x14ac:dyDescent="0.25">
      <c r="A225" s="9"/>
      <c r="B225" s="9"/>
      <c r="C225" s="9"/>
      <c r="D225" s="9"/>
      <c r="I225" s="10"/>
    </row>
    <row r="226" spans="1:9" ht="15.75" customHeight="1" x14ac:dyDescent="0.25">
      <c r="A226" s="9"/>
      <c r="B226" s="9"/>
      <c r="C226" s="9"/>
      <c r="D226" s="9"/>
      <c r="I226" s="10"/>
    </row>
    <row r="227" spans="1:9" ht="15.75" customHeight="1" x14ac:dyDescent="0.25">
      <c r="A227" s="9"/>
      <c r="B227" s="9"/>
      <c r="C227" s="9"/>
      <c r="D227" s="9"/>
      <c r="I227" s="10"/>
    </row>
    <row r="228" spans="1:9" ht="15.75" customHeight="1" x14ac:dyDescent="0.25">
      <c r="A228" s="9"/>
      <c r="B228" s="9"/>
      <c r="C228" s="9"/>
      <c r="D228" s="9"/>
      <c r="I228" s="10"/>
    </row>
    <row r="229" spans="1:9" ht="15.75" customHeight="1" x14ac:dyDescent="0.25">
      <c r="A229" s="9"/>
      <c r="B229" s="9"/>
      <c r="C229" s="9"/>
      <c r="D229" s="9"/>
      <c r="I229" s="10"/>
    </row>
    <row r="230" spans="1:9" ht="15.75" customHeight="1" x14ac:dyDescent="0.25"/>
    <row r="231" spans="1:9" ht="15.75" customHeight="1" x14ac:dyDescent="0.25"/>
    <row r="232" spans="1:9" ht="15.75" customHeight="1" x14ac:dyDescent="0.25"/>
    <row r="233" spans="1:9" ht="15.75" customHeight="1" x14ac:dyDescent="0.25"/>
    <row r="234" spans="1:9" ht="15.75" customHeight="1" x14ac:dyDescent="0.25"/>
    <row r="235" spans="1:9" ht="15.75" customHeight="1" x14ac:dyDescent="0.25"/>
    <row r="236" spans="1:9" ht="15.75" customHeight="1" x14ac:dyDescent="0.25"/>
    <row r="237" spans="1:9" ht="15.75" customHeight="1" x14ac:dyDescent="0.25"/>
    <row r="238" spans="1:9" ht="15.75" customHeight="1" x14ac:dyDescent="0.25"/>
    <row r="239" spans="1:9" ht="15.75" customHeight="1" x14ac:dyDescent="0.25"/>
    <row r="240" spans="1:9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2:G12"/>
    <mergeCell ref="A27:G27"/>
  </mergeCells>
  <dataValidations count="2">
    <dataValidation type="list" allowBlank="1" sqref="C14:D14" xr:uid="{00000000-0002-0000-0000-000000000000}">
      <formula1>"1,2,3,4,5"</formula1>
    </dataValidation>
    <dataValidation type="list" allowBlank="1" showErrorMessage="1" sqref="F14:F24 F29:F39" xr:uid="{00000000-0002-0000-0000-000001000000}">
      <formula1>"Avoid,Mitigate,Accept"</formula1>
    </dataValidation>
  </dataValidation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994"/>
  <sheetViews>
    <sheetView workbookViewId="0"/>
  </sheetViews>
  <sheetFormatPr defaultColWidth="12.6640625" defaultRowHeight="15" customHeight="1" x14ac:dyDescent="0.25"/>
  <cols>
    <col min="1" max="1" width="16.77734375" customWidth="1"/>
    <col min="2" max="2" width="25.44140625" customWidth="1"/>
    <col min="3" max="3" width="11.21875" customWidth="1"/>
    <col min="4" max="4" width="14.33203125" customWidth="1"/>
    <col min="5" max="5" width="52.109375" customWidth="1"/>
    <col min="6" max="6" width="10" customWidth="1"/>
    <col min="7" max="7" width="41.88671875" customWidth="1"/>
    <col min="11" max="11" width="34.4414062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I1" s="2" t="s">
        <v>4</v>
      </c>
      <c r="J1" s="1" t="s">
        <v>5</v>
      </c>
      <c r="K1" s="3" t="s">
        <v>6</v>
      </c>
    </row>
    <row r="2" spans="1:11" ht="15.75" customHeight="1" x14ac:dyDescent="0.25">
      <c r="A2" s="4">
        <v>1</v>
      </c>
      <c r="B2" s="14">
        <v>24</v>
      </c>
      <c r="C2" s="15">
        <v>0</v>
      </c>
      <c r="D2" s="14">
        <v>57</v>
      </c>
      <c r="I2" s="7" t="s">
        <v>7</v>
      </c>
      <c r="J2" s="16">
        <v>0</v>
      </c>
      <c r="K2" s="6"/>
    </row>
    <row r="3" spans="1:11" ht="15.75" customHeight="1" x14ac:dyDescent="0.25">
      <c r="A3" s="4">
        <v>2</v>
      </c>
      <c r="B3" s="14">
        <v>30</v>
      </c>
      <c r="C3" s="15">
        <v>0</v>
      </c>
      <c r="D3" s="9"/>
      <c r="I3" s="7" t="s">
        <v>8</v>
      </c>
      <c r="J3" s="16">
        <v>0</v>
      </c>
      <c r="K3" s="6"/>
    </row>
    <row r="4" spans="1:11" ht="15.75" customHeight="1" x14ac:dyDescent="0.25">
      <c r="A4" s="4">
        <v>3</v>
      </c>
      <c r="B4" s="14">
        <v>34</v>
      </c>
      <c r="C4" s="15">
        <v>0</v>
      </c>
      <c r="D4" s="9"/>
      <c r="I4" s="7" t="s">
        <v>9</v>
      </c>
      <c r="J4" s="16">
        <v>1</v>
      </c>
      <c r="K4" s="6"/>
    </row>
    <row r="5" spans="1:11" ht="15.75" customHeight="1" x14ac:dyDescent="0.25">
      <c r="A5" s="4">
        <v>4</v>
      </c>
      <c r="B5" s="14">
        <v>38</v>
      </c>
      <c r="C5" s="15">
        <v>0</v>
      </c>
      <c r="D5" s="9"/>
      <c r="I5" s="7" t="s">
        <v>10</v>
      </c>
      <c r="J5" s="16">
        <v>1</v>
      </c>
      <c r="K5" s="6"/>
    </row>
    <row r="6" spans="1:11" ht="15.75" customHeight="1" x14ac:dyDescent="0.25">
      <c r="A6" s="4">
        <v>5</v>
      </c>
      <c r="B6" s="14">
        <v>42</v>
      </c>
      <c r="C6" s="15">
        <v>7</v>
      </c>
      <c r="D6" s="9"/>
      <c r="I6" s="7" t="s">
        <v>11</v>
      </c>
      <c r="J6" s="16">
        <v>0</v>
      </c>
      <c r="K6" s="6"/>
    </row>
    <row r="7" spans="1:11" ht="15.75" customHeight="1" x14ac:dyDescent="0.25">
      <c r="A7" s="17">
        <v>6</v>
      </c>
      <c r="B7" s="14">
        <v>58</v>
      </c>
      <c r="C7" s="15">
        <v>37</v>
      </c>
      <c r="D7" s="9"/>
      <c r="I7" s="18" t="s">
        <v>58</v>
      </c>
      <c r="J7" s="16">
        <v>0</v>
      </c>
      <c r="K7" s="6"/>
    </row>
    <row r="8" spans="1:11" ht="15.75" customHeight="1" x14ac:dyDescent="0.25">
      <c r="A8" s="17">
        <v>7</v>
      </c>
      <c r="B8" s="14"/>
      <c r="C8" s="15"/>
      <c r="D8" s="9"/>
      <c r="I8" s="18" t="s">
        <v>59</v>
      </c>
      <c r="J8" s="16">
        <v>0</v>
      </c>
      <c r="K8" s="6"/>
    </row>
    <row r="9" spans="1:11" ht="15.75" customHeight="1" x14ac:dyDescent="0.25">
      <c r="A9" s="9"/>
      <c r="B9" s="9"/>
      <c r="C9" s="9"/>
      <c r="D9" s="9"/>
      <c r="I9" s="7" t="s">
        <v>12</v>
      </c>
      <c r="J9" s="16">
        <v>0</v>
      </c>
      <c r="K9" s="6"/>
    </row>
    <row r="10" spans="1:11" ht="15.75" customHeight="1" x14ac:dyDescent="0.25">
      <c r="A10" s="9"/>
      <c r="B10" s="9"/>
      <c r="C10" s="9"/>
      <c r="D10" s="9"/>
      <c r="I10" s="10"/>
    </row>
    <row r="11" spans="1:11" ht="15.75" customHeight="1" x14ac:dyDescent="0.25">
      <c r="A11" s="9"/>
      <c r="B11" s="9"/>
      <c r="C11" s="9"/>
      <c r="D11" s="9"/>
      <c r="I11" s="10"/>
    </row>
    <row r="12" spans="1:11" ht="15.75" customHeight="1" x14ac:dyDescent="0.25">
      <c r="A12" s="9"/>
      <c r="B12" s="9"/>
      <c r="C12" s="9"/>
      <c r="D12" s="9"/>
      <c r="I12" s="10"/>
    </row>
    <row r="13" spans="1:11" ht="15.75" customHeight="1" x14ac:dyDescent="0.25">
      <c r="A13" s="93" t="s">
        <v>13</v>
      </c>
      <c r="B13" s="94"/>
      <c r="C13" s="94"/>
      <c r="D13" s="94"/>
      <c r="E13" s="94"/>
      <c r="F13" s="94"/>
      <c r="G13" s="95"/>
      <c r="I13" s="10"/>
    </row>
    <row r="14" spans="1:11" ht="15.75" customHeight="1" x14ac:dyDescent="0.25">
      <c r="A14" s="11" t="s">
        <v>14</v>
      </c>
      <c r="B14" s="11" t="s">
        <v>15</v>
      </c>
      <c r="C14" s="11" t="s">
        <v>16</v>
      </c>
      <c r="D14" s="11" t="s">
        <v>17</v>
      </c>
      <c r="E14" s="12" t="s">
        <v>18</v>
      </c>
      <c r="F14" s="12" t="s">
        <v>19</v>
      </c>
      <c r="G14" s="12" t="s">
        <v>20</v>
      </c>
      <c r="I14" s="10"/>
    </row>
    <row r="15" spans="1:11" ht="15.75" customHeight="1" x14ac:dyDescent="0.25">
      <c r="A15" s="13"/>
      <c r="B15" s="6"/>
      <c r="C15" s="6"/>
      <c r="D15" s="6"/>
      <c r="E15" s="6"/>
      <c r="F15" s="6"/>
      <c r="G15" s="6"/>
      <c r="I15" s="10"/>
    </row>
    <row r="16" spans="1:11" ht="15.75" customHeight="1" x14ac:dyDescent="0.25">
      <c r="A16" s="6"/>
      <c r="B16" s="6"/>
      <c r="C16" s="6"/>
      <c r="D16" s="6"/>
      <c r="E16" s="6"/>
      <c r="F16" s="6"/>
      <c r="G16" s="6"/>
      <c r="I16" s="10"/>
    </row>
    <row r="17" spans="1:9" ht="15.75" customHeight="1" x14ac:dyDescent="0.25">
      <c r="A17" s="6"/>
      <c r="B17" s="6"/>
      <c r="C17" s="6"/>
      <c r="D17" s="6"/>
      <c r="E17" s="6"/>
      <c r="F17" s="6"/>
      <c r="G17" s="6"/>
      <c r="I17" s="10"/>
    </row>
    <row r="18" spans="1:9" ht="15.75" customHeight="1" x14ac:dyDescent="0.25">
      <c r="A18" s="6"/>
      <c r="B18" s="6"/>
      <c r="C18" s="6"/>
      <c r="D18" s="6"/>
      <c r="E18" s="6"/>
      <c r="F18" s="6"/>
      <c r="G18" s="6"/>
      <c r="I18" s="10"/>
    </row>
    <row r="19" spans="1:9" ht="15.75" customHeight="1" x14ac:dyDescent="0.25">
      <c r="A19" s="9"/>
      <c r="B19" s="9"/>
      <c r="C19" s="9"/>
      <c r="D19" s="9"/>
      <c r="I19" s="10"/>
    </row>
    <row r="20" spans="1:9" ht="15.75" customHeight="1" x14ac:dyDescent="0.25">
      <c r="A20" s="9"/>
      <c r="B20" s="9"/>
      <c r="C20" s="9"/>
      <c r="D20" s="9"/>
      <c r="I20" s="10"/>
    </row>
    <row r="21" spans="1:9" ht="15.75" customHeight="1" x14ac:dyDescent="0.25">
      <c r="A21" s="93" t="s">
        <v>52</v>
      </c>
      <c r="B21" s="94"/>
      <c r="C21" s="94"/>
      <c r="D21" s="94"/>
      <c r="E21" s="94"/>
      <c r="F21" s="94"/>
      <c r="G21" s="95"/>
      <c r="I21" s="10"/>
    </row>
    <row r="22" spans="1:9" ht="15.75" customHeight="1" x14ac:dyDescent="0.25">
      <c r="A22" s="11" t="s">
        <v>14</v>
      </c>
      <c r="B22" s="11" t="s">
        <v>53</v>
      </c>
      <c r="C22" s="11" t="s">
        <v>16</v>
      </c>
      <c r="D22" s="11" t="s">
        <v>17</v>
      </c>
      <c r="E22" s="12" t="s">
        <v>18</v>
      </c>
      <c r="F22" s="12" t="s">
        <v>19</v>
      </c>
      <c r="G22" s="12" t="s">
        <v>20</v>
      </c>
      <c r="I22" s="10"/>
    </row>
    <row r="23" spans="1:9" ht="15.75" customHeight="1" x14ac:dyDescent="0.25">
      <c r="A23" s="6" t="s">
        <v>54</v>
      </c>
      <c r="B23" s="15" t="s">
        <v>60</v>
      </c>
      <c r="C23" s="15">
        <v>5</v>
      </c>
      <c r="D23" s="15">
        <v>5</v>
      </c>
      <c r="E23" s="19" t="s">
        <v>61</v>
      </c>
      <c r="F23" s="6" t="s">
        <v>29</v>
      </c>
      <c r="G23" s="19" t="s">
        <v>62</v>
      </c>
      <c r="I23" s="10"/>
    </row>
    <row r="24" spans="1:9" ht="15.75" customHeight="1" x14ac:dyDescent="0.25">
      <c r="A24" s="6"/>
      <c r="B24" s="6"/>
      <c r="C24" s="6"/>
      <c r="D24" s="6"/>
      <c r="E24" s="6"/>
      <c r="F24" s="6"/>
      <c r="G24" s="6"/>
      <c r="I24" s="10"/>
    </row>
    <row r="25" spans="1:9" ht="15.75" customHeight="1" x14ac:dyDescent="0.25">
      <c r="A25" s="6"/>
      <c r="B25" s="6"/>
      <c r="C25" s="6"/>
      <c r="D25" s="6"/>
      <c r="E25" s="6"/>
      <c r="F25" s="6"/>
      <c r="G25" s="6"/>
      <c r="I25" s="10"/>
    </row>
    <row r="26" spans="1:9" ht="15.75" customHeight="1" x14ac:dyDescent="0.25">
      <c r="A26" s="6"/>
      <c r="B26" s="6"/>
      <c r="C26" s="6"/>
      <c r="D26" s="6"/>
      <c r="E26" s="6"/>
      <c r="F26" s="6"/>
      <c r="G26" s="6"/>
      <c r="I26" s="10"/>
    </row>
    <row r="27" spans="1:9" ht="15.75" customHeight="1" x14ac:dyDescent="0.25">
      <c r="A27" s="6"/>
      <c r="B27" s="6"/>
      <c r="C27" s="6"/>
      <c r="D27" s="6"/>
      <c r="E27" s="6"/>
      <c r="F27" s="6"/>
      <c r="G27" s="6"/>
      <c r="I27" s="10"/>
    </row>
    <row r="28" spans="1:9" ht="15.75" customHeight="1" x14ac:dyDescent="0.25">
      <c r="A28" s="6"/>
      <c r="B28" s="6"/>
      <c r="C28" s="6"/>
      <c r="D28" s="6"/>
      <c r="E28" s="6"/>
      <c r="F28" s="6"/>
      <c r="G28" s="6"/>
      <c r="I28" s="10"/>
    </row>
    <row r="29" spans="1:9" ht="15.75" customHeight="1" x14ac:dyDescent="0.25">
      <c r="A29" s="6"/>
      <c r="B29" s="6"/>
      <c r="C29" s="6"/>
      <c r="D29" s="6"/>
      <c r="E29" s="6"/>
      <c r="F29" s="6"/>
      <c r="G29" s="6"/>
      <c r="I29" s="10"/>
    </row>
    <row r="30" spans="1:9" ht="15.75" customHeight="1" x14ac:dyDescent="0.25">
      <c r="A30" s="6"/>
      <c r="B30" s="6"/>
      <c r="C30" s="6"/>
      <c r="D30" s="6"/>
      <c r="E30" s="6"/>
      <c r="F30" s="6"/>
      <c r="G30" s="6"/>
      <c r="I30" s="10"/>
    </row>
    <row r="31" spans="1:9" ht="15.75" customHeight="1" x14ac:dyDescent="0.25">
      <c r="A31" s="6"/>
      <c r="B31" s="6"/>
      <c r="C31" s="6"/>
      <c r="D31" s="6"/>
      <c r="E31" s="6"/>
      <c r="F31" s="6"/>
      <c r="G31" s="6"/>
      <c r="I31" s="10"/>
    </row>
    <row r="32" spans="1:9" ht="15.75" customHeight="1" x14ac:dyDescent="0.25">
      <c r="A32" s="6"/>
      <c r="B32" s="6"/>
      <c r="C32" s="6"/>
      <c r="D32" s="6"/>
      <c r="E32" s="6"/>
      <c r="F32" s="6"/>
      <c r="G32" s="6"/>
      <c r="I32" s="10"/>
    </row>
    <row r="33" spans="1:9" ht="15.75" customHeight="1" x14ac:dyDescent="0.25">
      <c r="A33" s="6"/>
      <c r="B33" s="6"/>
      <c r="C33" s="6"/>
      <c r="D33" s="6"/>
      <c r="E33" s="6"/>
      <c r="F33" s="6"/>
      <c r="G33" s="6"/>
      <c r="I33" s="10"/>
    </row>
    <row r="34" spans="1:9" ht="15.75" customHeight="1" x14ac:dyDescent="0.25">
      <c r="A34" s="9"/>
      <c r="B34" s="9"/>
      <c r="C34" s="9"/>
      <c r="D34" s="9"/>
      <c r="I34" s="10"/>
    </row>
    <row r="35" spans="1:9" ht="15.75" customHeight="1" x14ac:dyDescent="0.25">
      <c r="A35" s="9"/>
      <c r="B35" s="9"/>
      <c r="C35" s="9"/>
      <c r="D35" s="9"/>
      <c r="I35" s="10"/>
    </row>
    <row r="36" spans="1:9" ht="15.75" customHeight="1" x14ac:dyDescent="0.25">
      <c r="A36" s="9"/>
      <c r="B36" s="9"/>
      <c r="C36" s="9"/>
      <c r="D36" s="9"/>
      <c r="I36" s="10"/>
    </row>
    <row r="37" spans="1:9" ht="15.75" customHeight="1" x14ac:dyDescent="0.25">
      <c r="A37" s="9"/>
      <c r="B37" s="9"/>
      <c r="C37" s="9"/>
      <c r="D37" s="9"/>
      <c r="I37" s="10"/>
    </row>
    <row r="38" spans="1:9" ht="15.75" customHeight="1" x14ac:dyDescent="0.25">
      <c r="A38" s="9"/>
      <c r="B38" s="9"/>
      <c r="C38" s="9"/>
      <c r="D38" s="9"/>
      <c r="I38" s="10"/>
    </row>
    <row r="39" spans="1:9" ht="15.75" customHeight="1" x14ac:dyDescent="0.25">
      <c r="A39" s="9"/>
      <c r="B39" s="9"/>
      <c r="C39" s="9"/>
      <c r="D39" s="9"/>
      <c r="I39" s="10"/>
    </row>
    <row r="40" spans="1:9" ht="15.75" customHeight="1" x14ac:dyDescent="0.25">
      <c r="A40" s="9"/>
      <c r="B40" s="9"/>
      <c r="C40" s="9"/>
      <c r="D40" s="9"/>
      <c r="I40" s="10"/>
    </row>
    <row r="41" spans="1:9" ht="15.75" customHeight="1" x14ac:dyDescent="0.25">
      <c r="A41" s="9"/>
      <c r="B41" s="9"/>
      <c r="C41" s="9"/>
      <c r="D41" s="9"/>
      <c r="I41" s="10"/>
    </row>
    <row r="42" spans="1:9" ht="15.75" customHeight="1" x14ac:dyDescent="0.25">
      <c r="A42" s="9"/>
      <c r="B42" s="9"/>
      <c r="C42" s="9"/>
      <c r="D42" s="9"/>
      <c r="I42" s="10"/>
    </row>
    <row r="43" spans="1:9" ht="15.75" customHeight="1" x14ac:dyDescent="0.25">
      <c r="A43" s="9"/>
      <c r="B43" s="9"/>
      <c r="C43" s="9"/>
      <c r="D43" s="9"/>
      <c r="I43" s="10"/>
    </row>
    <row r="44" spans="1:9" ht="15.75" customHeight="1" x14ac:dyDescent="0.25">
      <c r="A44" s="9"/>
      <c r="B44" s="9"/>
      <c r="C44" s="9"/>
      <c r="D44" s="9"/>
      <c r="I44" s="10"/>
    </row>
    <row r="45" spans="1:9" ht="15.75" customHeight="1" x14ac:dyDescent="0.25">
      <c r="A45" s="9"/>
      <c r="B45" s="9"/>
      <c r="C45" s="9"/>
      <c r="D45" s="9"/>
      <c r="I45" s="10"/>
    </row>
    <row r="46" spans="1:9" ht="15.75" customHeight="1" x14ac:dyDescent="0.25">
      <c r="A46" s="9"/>
      <c r="B46" s="9"/>
      <c r="C46" s="9"/>
      <c r="D46" s="9"/>
      <c r="I46" s="10"/>
    </row>
    <row r="47" spans="1:9" ht="15.75" customHeight="1" x14ac:dyDescent="0.25">
      <c r="A47" s="9"/>
      <c r="B47" s="9"/>
      <c r="C47" s="9"/>
      <c r="D47" s="9"/>
      <c r="I47" s="10"/>
    </row>
    <row r="48" spans="1:9" ht="15.75" customHeight="1" x14ac:dyDescent="0.25">
      <c r="A48" s="9"/>
      <c r="B48" s="9"/>
      <c r="C48" s="9"/>
      <c r="D48" s="9"/>
      <c r="I48" s="10"/>
    </row>
    <row r="49" spans="1:9" ht="15.75" customHeight="1" x14ac:dyDescent="0.25">
      <c r="A49" s="9"/>
      <c r="B49" s="9"/>
      <c r="C49" s="9"/>
      <c r="D49" s="9"/>
      <c r="I49" s="10"/>
    </row>
    <row r="50" spans="1:9" ht="15.75" customHeight="1" x14ac:dyDescent="0.25">
      <c r="A50" s="9"/>
      <c r="B50" s="9"/>
      <c r="C50" s="9"/>
      <c r="D50" s="9"/>
      <c r="I50" s="10"/>
    </row>
    <row r="51" spans="1:9" ht="15.75" customHeight="1" x14ac:dyDescent="0.25">
      <c r="A51" s="9"/>
      <c r="B51" s="9"/>
      <c r="C51" s="9"/>
      <c r="D51" s="9"/>
      <c r="I51" s="10"/>
    </row>
    <row r="52" spans="1:9" ht="15.75" customHeight="1" x14ac:dyDescent="0.25">
      <c r="A52" s="9"/>
      <c r="B52" s="9"/>
      <c r="C52" s="9"/>
      <c r="D52" s="9"/>
      <c r="I52" s="10"/>
    </row>
    <row r="53" spans="1:9" ht="15.75" customHeight="1" x14ac:dyDescent="0.25">
      <c r="A53" s="9"/>
      <c r="B53" s="9"/>
      <c r="C53" s="9"/>
      <c r="D53" s="9"/>
      <c r="I53" s="10"/>
    </row>
    <row r="54" spans="1:9" ht="15.75" customHeight="1" x14ac:dyDescent="0.25">
      <c r="A54" s="9"/>
      <c r="B54" s="9"/>
      <c r="C54" s="9"/>
      <c r="D54" s="9"/>
      <c r="I54" s="10"/>
    </row>
    <row r="55" spans="1:9" ht="15.75" customHeight="1" x14ac:dyDescent="0.25">
      <c r="A55" s="9"/>
      <c r="B55" s="9"/>
      <c r="C55" s="9"/>
      <c r="D55" s="9"/>
      <c r="I55" s="10"/>
    </row>
    <row r="56" spans="1:9" ht="15.75" customHeight="1" x14ac:dyDescent="0.25">
      <c r="A56" s="9"/>
      <c r="B56" s="9"/>
      <c r="C56" s="9"/>
      <c r="D56" s="9"/>
      <c r="I56" s="10"/>
    </row>
    <row r="57" spans="1:9" ht="15.75" customHeight="1" x14ac:dyDescent="0.25">
      <c r="A57" s="9"/>
      <c r="B57" s="9"/>
      <c r="C57" s="9"/>
      <c r="D57" s="9"/>
      <c r="I57" s="10"/>
    </row>
    <row r="58" spans="1:9" ht="15.75" customHeight="1" x14ac:dyDescent="0.25">
      <c r="A58" s="9"/>
      <c r="B58" s="9"/>
      <c r="C58" s="9"/>
      <c r="D58" s="9"/>
      <c r="I58" s="10"/>
    </row>
    <row r="59" spans="1:9" ht="15.75" customHeight="1" x14ac:dyDescent="0.25">
      <c r="A59" s="9"/>
      <c r="B59" s="9"/>
      <c r="C59" s="9"/>
      <c r="D59" s="9"/>
      <c r="I59" s="10"/>
    </row>
    <row r="60" spans="1:9" ht="15.75" customHeight="1" x14ac:dyDescent="0.25">
      <c r="A60" s="9"/>
      <c r="B60" s="9"/>
      <c r="C60" s="9"/>
      <c r="D60" s="9"/>
      <c r="I60" s="10"/>
    </row>
    <row r="61" spans="1:9" ht="15.75" customHeight="1" x14ac:dyDescent="0.25">
      <c r="A61" s="9"/>
      <c r="B61" s="9"/>
      <c r="C61" s="9"/>
      <c r="D61" s="9"/>
      <c r="I61" s="10"/>
    </row>
    <row r="62" spans="1:9" ht="15.75" customHeight="1" x14ac:dyDescent="0.25">
      <c r="A62" s="9"/>
      <c r="B62" s="9"/>
      <c r="C62" s="9"/>
      <c r="D62" s="9"/>
      <c r="I62" s="10"/>
    </row>
    <row r="63" spans="1:9" ht="15.75" customHeight="1" x14ac:dyDescent="0.25">
      <c r="A63" s="9"/>
      <c r="B63" s="9"/>
      <c r="C63" s="9"/>
      <c r="D63" s="9"/>
      <c r="I63" s="10"/>
    </row>
    <row r="64" spans="1:9" ht="15.75" customHeight="1" x14ac:dyDescent="0.25">
      <c r="A64" s="9"/>
      <c r="B64" s="9"/>
      <c r="C64" s="9"/>
      <c r="D64" s="9"/>
      <c r="I64" s="10"/>
    </row>
    <row r="65" spans="1:9" ht="15.75" customHeight="1" x14ac:dyDescent="0.25">
      <c r="A65" s="9"/>
      <c r="B65" s="9"/>
      <c r="C65" s="9"/>
      <c r="D65" s="9"/>
      <c r="I65" s="10"/>
    </row>
    <row r="66" spans="1:9" ht="15.75" customHeight="1" x14ac:dyDescent="0.25">
      <c r="A66" s="9"/>
      <c r="B66" s="9"/>
      <c r="C66" s="9"/>
      <c r="D66" s="9"/>
      <c r="I66" s="10"/>
    </row>
    <row r="67" spans="1:9" ht="15.75" customHeight="1" x14ac:dyDescent="0.25">
      <c r="A67" s="9"/>
      <c r="B67" s="9"/>
      <c r="C67" s="9"/>
      <c r="D67" s="9"/>
      <c r="I67" s="10"/>
    </row>
    <row r="68" spans="1:9" ht="15.75" customHeight="1" x14ac:dyDescent="0.25">
      <c r="A68" s="9"/>
      <c r="B68" s="9"/>
      <c r="C68" s="9"/>
      <c r="D68" s="9"/>
      <c r="I68" s="10"/>
    </row>
    <row r="69" spans="1:9" ht="15.75" customHeight="1" x14ac:dyDescent="0.25">
      <c r="A69" s="9"/>
      <c r="B69" s="9"/>
      <c r="C69" s="9"/>
      <c r="D69" s="9"/>
      <c r="I69" s="10"/>
    </row>
    <row r="70" spans="1:9" ht="15.75" customHeight="1" x14ac:dyDescent="0.25">
      <c r="A70" s="9"/>
      <c r="B70" s="9"/>
      <c r="C70" s="9"/>
      <c r="D70" s="9"/>
      <c r="I70" s="10"/>
    </row>
    <row r="71" spans="1:9" ht="15.75" customHeight="1" x14ac:dyDescent="0.25">
      <c r="A71" s="9"/>
      <c r="B71" s="9"/>
      <c r="C71" s="9"/>
      <c r="D71" s="9"/>
      <c r="I71" s="10"/>
    </row>
    <row r="72" spans="1:9" ht="15.75" customHeight="1" x14ac:dyDescent="0.25">
      <c r="A72" s="9"/>
      <c r="B72" s="9"/>
      <c r="C72" s="9"/>
      <c r="D72" s="9"/>
      <c r="I72" s="10"/>
    </row>
    <row r="73" spans="1:9" ht="15.75" customHeight="1" x14ac:dyDescent="0.25">
      <c r="A73" s="9"/>
      <c r="B73" s="9"/>
      <c r="C73" s="9"/>
      <c r="D73" s="9"/>
      <c r="I73" s="10"/>
    </row>
    <row r="74" spans="1:9" ht="15.75" customHeight="1" x14ac:dyDescent="0.25">
      <c r="A74" s="9"/>
      <c r="B74" s="9"/>
      <c r="C74" s="9"/>
      <c r="D74" s="9"/>
      <c r="I74" s="10"/>
    </row>
    <row r="75" spans="1:9" ht="15.75" customHeight="1" x14ac:dyDescent="0.25">
      <c r="A75" s="9"/>
      <c r="B75" s="9"/>
      <c r="C75" s="9"/>
      <c r="D75" s="9"/>
      <c r="I75" s="10"/>
    </row>
    <row r="76" spans="1:9" ht="15.75" customHeight="1" x14ac:dyDescent="0.25">
      <c r="A76" s="9"/>
      <c r="B76" s="9"/>
      <c r="C76" s="9"/>
      <c r="D76" s="9"/>
      <c r="I76" s="10"/>
    </row>
    <row r="77" spans="1:9" ht="15.75" customHeight="1" x14ac:dyDescent="0.25">
      <c r="A77" s="9"/>
      <c r="B77" s="9"/>
      <c r="C77" s="9"/>
      <c r="D77" s="9"/>
      <c r="I77" s="10"/>
    </row>
    <row r="78" spans="1:9" ht="15.75" customHeight="1" x14ac:dyDescent="0.25">
      <c r="A78" s="9"/>
      <c r="B78" s="9"/>
      <c r="C78" s="9"/>
      <c r="D78" s="9"/>
      <c r="I78" s="10"/>
    </row>
    <row r="79" spans="1:9" ht="15.75" customHeight="1" x14ac:dyDescent="0.25">
      <c r="A79" s="9"/>
      <c r="B79" s="9"/>
      <c r="C79" s="9"/>
      <c r="D79" s="9"/>
      <c r="I79" s="10"/>
    </row>
    <row r="80" spans="1:9" ht="15.75" customHeight="1" x14ac:dyDescent="0.25">
      <c r="A80" s="9"/>
      <c r="B80" s="9"/>
      <c r="C80" s="9"/>
      <c r="D80" s="9"/>
      <c r="I80" s="10"/>
    </row>
    <row r="81" spans="1:9" ht="15.75" customHeight="1" x14ac:dyDescent="0.25">
      <c r="A81" s="9"/>
      <c r="B81" s="9"/>
      <c r="C81" s="9"/>
      <c r="D81" s="9"/>
      <c r="I81" s="10"/>
    </row>
    <row r="82" spans="1:9" ht="15.75" customHeight="1" x14ac:dyDescent="0.25">
      <c r="A82" s="9"/>
      <c r="B82" s="9"/>
      <c r="C82" s="9"/>
      <c r="D82" s="9"/>
      <c r="I82" s="10"/>
    </row>
    <row r="83" spans="1:9" ht="15.75" customHeight="1" x14ac:dyDescent="0.25">
      <c r="A83" s="9"/>
      <c r="B83" s="9"/>
      <c r="C83" s="9"/>
      <c r="D83" s="9"/>
      <c r="I83" s="10"/>
    </row>
    <row r="84" spans="1:9" ht="15.75" customHeight="1" x14ac:dyDescent="0.25">
      <c r="A84" s="9"/>
      <c r="B84" s="9"/>
      <c r="C84" s="9"/>
      <c r="D84" s="9"/>
      <c r="I84" s="10"/>
    </row>
    <row r="85" spans="1:9" ht="15.75" customHeight="1" x14ac:dyDescent="0.25">
      <c r="A85" s="9"/>
      <c r="B85" s="9"/>
      <c r="C85" s="9"/>
      <c r="D85" s="9"/>
      <c r="I85" s="10"/>
    </row>
    <row r="86" spans="1:9" ht="15.75" customHeight="1" x14ac:dyDescent="0.25">
      <c r="A86" s="9"/>
      <c r="B86" s="9"/>
      <c r="C86" s="9"/>
      <c r="D86" s="9"/>
      <c r="I86" s="10"/>
    </row>
    <row r="87" spans="1:9" ht="15.75" customHeight="1" x14ac:dyDescent="0.25">
      <c r="A87" s="9"/>
      <c r="B87" s="9"/>
      <c r="C87" s="9"/>
      <c r="D87" s="9"/>
      <c r="I87" s="10"/>
    </row>
    <row r="88" spans="1:9" ht="15.75" customHeight="1" x14ac:dyDescent="0.25">
      <c r="A88" s="9"/>
      <c r="B88" s="9"/>
      <c r="C88" s="9"/>
      <c r="D88" s="9"/>
      <c r="I88" s="10"/>
    </row>
    <row r="89" spans="1:9" ht="15.75" customHeight="1" x14ac:dyDescent="0.25">
      <c r="A89" s="9"/>
      <c r="B89" s="9"/>
      <c r="C89" s="9"/>
      <c r="D89" s="9"/>
      <c r="I89" s="10"/>
    </row>
    <row r="90" spans="1:9" ht="15.75" customHeight="1" x14ac:dyDescent="0.25">
      <c r="A90" s="9"/>
      <c r="B90" s="9"/>
      <c r="C90" s="9"/>
      <c r="D90" s="9"/>
      <c r="I90" s="10"/>
    </row>
    <row r="91" spans="1:9" ht="15.75" customHeight="1" x14ac:dyDescent="0.25">
      <c r="A91" s="9"/>
      <c r="B91" s="9"/>
      <c r="C91" s="9"/>
      <c r="D91" s="9"/>
      <c r="I91" s="10"/>
    </row>
    <row r="92" spans="1:9" ht="15.75" customHeight="1" x14ac:dyDescent="0.25">
      <c r="A92" s="9"/>
      <c r="B92" s="9"/>
      <c r="C92" s="9"/>
      <c r="D92" s="9"/>
      <c r="I92" s="10"/>
    </row>
    <row r="93" spans="1:9" ht="15.75" customHeight="1" x14ac:dyDescent="0.25">
      <c r="A93" s="9"/>
      <c r="B93" s="9"/>
      <c r="C93" s="9"/>
      <c r="D93" s="9"/>
      <c r="I93" s="10"/>
    </row>
    <row r="94" spans="1:9" ht="15.75" customHeight="1" x14ac:dyDescent="0.25">
      <c r="A94" s="9"/>
      <c r="B94" s="9"/>
      <c r="C94" s="9"/>
      <c r="D94" s="9"/>
      <c r="I94" s="10"/>
    </row>
    <row r="95" spans="1:9" ht="15.75" customHeight="1" x14ac:dyDescent="0.25">
      <c r="A95" s="9"/>
      <c r="B95" s="9"/>
      <c r="C95" s="9"/>
      <c r="D95" s="9"/>
      <c r="I95" s="10"/>
    </row>
    <row r="96" spans="1:9" ht="15.75" customHeight="1" x14ac:dyDescent="0.25">
      <c r="A96" s="9"/>
      <c r="B96" s="9"/>
      <c r="C96" s="9"/>
      <c r="D96" s="9"/>
      <c r="I96" s="10"/>
    </row>
    <row r="97" spans="1:9" ht="15.75" customHeight="1" x14ac:dyDescent="0.25">
      <c r="A97" s="9"/>
      <c r="B97" s="9"/>
      <c r="C97" s="9"/>
      <c r="D97" s="9"/>
      <c r="I97" s="10"/>
    </row>
    <row r="98" spans="1:9" ht="15.75" customHeight="1" x14ac:dyDescent="0.25">
      <c r="A98" s="9"/>
      <c r="B98" s="9"/>
      <c r="C98" s="9"/>
      <c r="D98" s="9"/>
      <c r="I98" s="10"/>
    </row>
    <row r="99" spans="1:9" ht="15.75" customHeight="1" x14ac:dyDescent="0.25">
      <c r="A99" s="9"/>
      <c r="B99" s="9"/>
      <c r="C99" s="9"/>
      <c r="D99" s="9"/>
      <c r="I99" s="10"/>
    </row>
    <row r="100" spans="1:9" ht="15.75" customHeight="1" x14ac:dyDescent="0.25">
      <c r="A100" s="9"/>
      <c r="B100" s="9"/>
      <c r="C100" s="9"/>
      <c r="D100" s="9"/>
      <c r="I100" s="10"/>
    </row>
    <row r="101" spans="1:9" ht="15.75" customHeight="1" x14ac:dyDescent="0.25">
      <c r="A101" s="9"/>
      <c r="B101" s="9"/>
      <c r="C101" s="9"/>
      <c r="D101" s="9"/>
      <c r="I101" s="10"/>
    </row>
    <row r="102" spans="1:9" ht="15.75" customHeight="1" x14ac:dyDescent="0.25">
      <c r="A102" s="9"/>
      <c r="B102" s="9"/>
      <c r="C102" s="9"/>
      <c r="D102" s="9"/>
      <c r="I102" s="10"/>
    </row>
    <row r="103" spans="1:9" ht="15.75" customHeight="1" x14ac:dyDescent="0.25">
      <c r="A103" s="9"/>
      <c r="B103" s="9"/>
      <c r="C103" s="9"/>
      <c r="D103" s="9"/>
      <c r="I103" s="10"/>
    </row>
    <row r="104" spans="1:9" ht="15.75" customHeight="1" x14ac:dyDescent="0.25">
      <c r="A104" s="9"/>
      <c r="B104" s="9"/>
      <c r="C104" s="9"/>
      <c r="D104" s="9"/>
      <c r="I104" s="10"/>
    </row>
    <row r="105" spans="1:9" ht="15.75" customHeight="1" x14ac:dyDescent="0.25">
      <c r="A105" s="9"/>
      <c r="B105" s="9"/>
      <c r="C105" s="9"/>
      <c r="D105" s="9"/>
      <c r="I105" s="10"/>
    </row>
    <row r="106" spans="1:9" ht="15.75" customHeight="1" x14ac:dyDescent="0.25">
      <c r="A106" s="9"/>
      <c r="B106" s="9"/>
      <c r="C106" s="9"/>
      <c r="D106" s="9"/>
      <c r="I106" s="10"/>
    </row>
    <row r="107" spans="1:9" ht="15.75" customHeight="1" x14ac:dyDescent="0.25">
      <c r="A107" s="9"/>
      <c r="B107" s="9"/>
      <c r="C107" s="9"/>
      <c r="D107" s="9"/>
      <c r="I107" s="10"/>
    </row>
    <row r="108" spans="1:9" ht="15.75" customHeight="1" x14ac:dyDescent="0.25">
      <c r="A108" s="9"/>
      <c r="B108" s="9"/>
      <c r="C108" s="9"/>
      <c r="D108" s="9"/>
      <c r="I108" s="10"/>
    </row>
    <row r="109" spans="1:9" ht="15.75" customHeight="1" x14ac:dyDescent="0.25">
      <c r="A109" s="9"/>
      <c r="B109" s="9"/>
      <c r="C109" s="9"/>
      <c r="D109" s="9"/>
      <c r="I109" s="10"/>
    </row>
    <row r="110" spans="1:9" ht="15.75" customHeight="1" x14ac:dyDescent="0.25">
      <c r="A110" s="9"/>
      <c r="B110" s="9"/>
      <c r="C110" s="9"/>
      <c r="D110" s="9"/>
      <c r="I110" s="10"/>
    </row>
    <row r="111" spans="1:9" ht="15.75" customHeight="1" x14ac:dyDescent="0.25">
      <c r="A111" s="9"/>
      <c r="B111" s="9"/>
      <c r="C111" s="9"/>
      <c r="D111" s="9"/>
      <c r="I111" s="10"/>
    </row>
    <row r="112" spans="1:9" ht="15.75" customHeight="1" x14ac:dyDescent="0.25">
      <c r="A112" s="9"/>
      <c r="B112" s="9"/>
      <c r="C112" s="9"/>
      <c r="D112" s="9"/>
      <c r="I112" s="10"/>
    </row>
    <row r="113" spans="1:9" ht="15.75" customHeight="1" x14ac:dyDescent="0.25">
      <c r="A113" s="9"/>
      <c r="B113" s="9"/>
      <c r="C113" s="9"/>
      <c r="D113" s="9"/>
      <c r="I113" s="10"/>
    </row>
    <row r="114" spans="1:9" ht="15.75" customHeight="1" x14ac:dyDescent="0.25">
      <c r="A114" s="9"/>
      <c r="B114" s="9"/>
      <c r="C114" s="9"/>
      <c r="D114" s="9"/>
      <c r="I114" s="10"/>
    </row>
    <row r="115" spans="1:9" ht="15.75" customHeight="1" x14ac:dyDescent="0.25">
      <c r="A115" s="9"/>
      <c r="B115" s="9"/>
      <c r="C115" s="9"/>
      <c r="D115" s="9"/>
      <c r="I115" s="10"/>
    </row>
    <row r="116" spans="1:9" ht="15.75" customHeight="1" x14ac:dyDescent="0.25">
      <c r="A116" s="9"/>
      <c r="B116" s="9"/>
      <c r="C116" s="9"/>
      <c r="D116" s="9"/>
      <c r="I116" s="10"/>
    </row>
    <row r="117" spans="1:9" ht="15.75" customHeight="1" x14ac:dyDescent="0.25">
      <c r="A117" s="9"/>
      <c r="B117" s="9"/>
      <c r="C117" s="9"/>
      <c r="D117" s="9"/>
      <c r="I117" s="10"/>
    </row>
    <row r="118" spans="1:9" ht="15.75" customHeight="1" x14ac:dyDescent="0.25">
      <c r="A118" s="9"/>
      <c r="B118" s="9"/>
      <c r="C118" s="9"/>
      <c r="D118" s="9"/>
      <c r="I118" s="10"/>
    </row>
    <row r="119" spans="1:9" ht="15.75" customHeight="1" x14ac:dyDescent="0.25">
      <c r="A119" s="9"/>
      <c r="B119" s="9"/>
      <c r="C119" s="9"/>
      <c r="D119" s="9"/>
      <c r="I119" s="10"/>
    </row>
    <row r="120" spans="1:9" ht="15.75" customHeight="1" x14ac:dyDescent="0.25">
      <c r="A120" s="9"/>
      <c r="B120" s="9"/>
      <c r="C120" s="9"/>
      <c r="D120" s="9"/>
      <c r="I120" s="10"/>
    </row>
    <row r="121" spans="1:9" ht="15.75" customHeight="1" x14ac:dyDescent="0.25">
      <c r="A121" s="9"/>
      <c r="B121" s="9"/>
      <c r="C121" s="9"/>
      <c r="D121" s="9"/>
      <c r="I121" s="10"/>
    </row>
    <row r="122" spans="1:9" ht="15.75" customHeight="1" x14ac:dyDescent="0.25">
      <c r="A122" s="9"/>
      <c r="B122" s="9"/>
      <c r="C122" s="9"/>
      <c r="D122" s="9"/>
      <c r="I122" s="10"/>
    </row>
    <row r="123" spans="1:9" ht="15.75" customHeight="1" x14ac:dyDescent="0.25">
      <c r="A123" s="9"/>
      <c r="B123" s="9"/>
      <c r="C123" s="9"/>
      <c r="D123" s="9"/>
      <c r="I123" s="10"/>
    </row>
    <row r="124" spans="1:9" ht="15.75" customHeight="1" x14ac:dyDescent="0.25">
      <c r="A124" s="9"/>
      <c r="B124" s="9"/>
      <c r="C124" s="9"/>
      <c r="D124" s="9"/>
      <c r="I124" s="10"/>
    </row>
    <row r="125" spans="1:9" ht="15.75" customHeight="1" x14ac:dyDescent="0.25">
      <c r="A125" s="9"/>
      <c r="B125" s="9"/>
      <c r="C125" s="9"/>
      <c r="D125" s="9"/>
      <c r="I125" s="10"/>
    </row>
    <row r="126" spans="1:9" ht="15.75" customHeight="1" x14ac:dyDescent="0.25">
      <c r="A126" s="9"/>
      <c r="B126" s="9"/>
      <c r="C126" s="9"/>
      <c r="D126" s="9"/>
      <c r="I126" s="10"/>
    </row>
    <row r="127" spans="1:9" ht="15.75" customHeight="1" x14ac:dyDescent="0.25">
      <c r="A127" s="9"/>
      <c r="B127" s="9"/>
      <c r="C127" s="9"/>
      <c r="D127" s="9"/>
      <c r="I127" s="10"/>
    </row>
    <row r="128" spans="1:9" ht="15.75" customHeight="1" x14ac:dyDescent="0.25">
      <c r="A128" s="9"/>
      <c r="B128" s="9"/>
      <c r="C128" s="9"/>
      <c r="D128" s="9"/>
      <c r="I128" s="10"/>
    </row>
    <row r="129" spans="1:9" ht="15.75" customHeight="1" x14ac:dyDescent="0.25">
      <c r="A129" s="9"/>
      <c r="B129" s="9"/>
      <c r="C129" s="9"/>
      <c r="D129" s="9"/>
      <c r="I129" s="10"/>
    </row>
    <row r="130" spans="1:9" ht="15.75" customHeight="1" x14ac:dyDescent="0.25">
      <c r="A130" s="9"/>
      <c r="B130" s="9"/>
      <c r="C130" s="9"/>
      <c r="D130" s="9"/>
      <c r="I130" s="10"/>
    </row>
    <row r="131" spans="1:9" ht="15.75" customHeight="1" x14ac:dyDescent="0.25">
      <c r="A131" s="9"/>
      <c r="B131" s="9"/>
      <c r="C131" s="9"/>
      <c r="D131" s="9"/>
      <c r="I131" s="10"/>
    </row>
    <row r="132" spans="1:9" ht="15.75" customHeight="1" x14ac:dyDescent="0.25">
      <c r="A132" s="9"/>
      <c r="B132" s="9"/>
      <c r="C132" s="9"/>
      <c r="D132" s="9"/>
      <c r="I132" s="10"/>
    </row>
    <row r="133" spans="1:9" ht="15.75" customHeight="1" x14ac:dyDescent="0.25">
      <c r="A133" s="9"/>
      <c r="B133" s="9"/>
      <c r="C133" s="9"/>
      <c r="D133" s="9"/>
      <c r="I133" s="10"/>
    </row>
    <row r="134" spans="1:9" ht="15.75" customHeight="1" x14ac:dyDescent="0.25">
      <c r="A134" s="9"/>
      <c r="B134" s="9"/>
      <c r="C134" s="9"/>
      <c r="D134" s="9"/>
      <c r="I134" s="10"/>
    </row>
    <row r="135" spans="1:9" ht="15.75" customHeight="1" x14ac:dyDescent="0.25">
      <c r="A135" s="9"/>
      <c r="B135" s="9"/>
      <c r="C135" s="9"/>
      <c r="D135" s="9"/>
      <c r="I135" s="10"/>
    </row>
    <row r="136" spans="1:9" ht="15.75" customHeight="1" x14ac:dyDescent="0.25">
      <c r="A136" s="9"/>
      <c r="B136" s="9"/>
      <c r="C136" s="9"/>
      <c r="D136" s="9"/>
      <c r="I136" s="10"/>
    </row>
    <row r="137" spans="1:9" ht="15.75" customHeight="1" x14ac:dyDescent="0.25">
      <c r="A137" s="9"/>
      <c r="B137" s="9"/>
      <c r="C137" s="9"/>
      <c r="D137" s="9"/>
      <c r="I137" s="10"/>
    </row>
    <row r="138" spans="1:9" ht="15.75" customHeight="1" x14ac:dyDescent="0.25">
      <c r="A138" s="9"/>
      <c r="B138" s="9"/>
      <c r="C138" s="9"/>
      <c r="D138" s="9"/>
      <c r="I138" s="10"/>
    </row>
    <row r="139" spans="1:9" ht="15.75" customHeight="1" x14ac:dyDescent="0.25">
      <c r="A139" s="9"/>
      <c r="B139" s="9"/>
      <c r="C139" s="9"/>
      <c r="D139" s="9"/>
      <c r="I139" s="10"/>
    </row>
    <row r="140" spans="1:9" ht="15.75" customHeight="1" x14ac:dyDescent="0.25">
      <c r="A140" s="9"/>
      <c r="B140" s="9"/>
      <c r="C140" s="9"/>
      <c r="D140" s="9"/>
      <c r="I140" s="10"/>
    </row>
    <row r="141" spans="1:9" ht="15.75" customHeight="1" x14ac:dyDescent="0.25">
      <c r="A141" s="9"/>
      <c r="B141" s="9"/>
      <c r="C141" s="9"/>
      <c r="D141" s="9"/>
      <c r="I141" s="10"/>
    </row>
    <row r="142" spans="1:9" ht="15.75" customHeight="1" x14ac:dyDescent="0.25">
      <c r="A142" s="9"/>
      <c r="B142" s="9"/>
      <c r="C142" s="9"/>
      <c r="D142" s="9"/>
      <c r="I142" s="10"/>
    </row>
    <row r="143" spans="1:9" ht="15.75" customHeight="1" x14ac:dyDescent="0.25">
      <c r="A143" s="9"/>
      <c r="B143" s="9"/>
      <c r="C143" s="9"/>
      <c r="D143" s="9"/>
      <c r="I143" s="10"/>
    </row>
    <row r="144" spans="1:9" ht="15.75" customHeight="1" x14ac:dyDescent="0.25">
      <c r="A144" s="9"/>
      <c r="B144" s="9"/>
      <c r="C144" s="9"/>
      <c r="D144" s="9"/>
      <c r="I144" s="10"/>
    </row>
    <row r="145" spans="1:9" ht="15.75" customHeight="1" x14ac:dyDescent="0.25">
      <c r="A145" s="9"/>
      <c r="B145" s="9"/>
      <c r="C145" s="9"/>
      <c r="D145" s="9"/>
      <c r="I145" s="10"/>
    </row>
    <row r="146" spans="1:9" ht="15.75" customHeight="1" x14ac:dyDescent="0.25">
      <c r="A146" s="9"/>
      <c r="B146" s="9"/>
      <c r="C146" s="9"/>
      <c r="D146" s="9"/>
      <c r="I146" s="10"/>
    </row>
    <row r="147" spans="1:9" ht="15.75" customHeight="1" x14ac:dyDescent="0.25">
      <c r="A147" s="9"/>
      <c r="B147" s="9"/>
      <c r="C147" s="9"/>
      <c r="D147" s="9"/>
      <c r="I147" s="10"/>
    </row>
    <row r="148" spans="1:9" ht="15.75" customHeight="1" x14ac:dyDescent="0.25">
      <c r="A148" s="9"/>
      <c r="B148" s="9"/>
      <c r="C148" s="9"/>
      <c r="D148" s="9"/>
      <c r="I148" s="10"/>
    </row>
    <row r="149" spans="1:9" ht="15.75" customHeight="1" x14ac:dyDescent="0.25">
      <c r="A149" s="9"/>
      <c r="B149" s="9"/>
      <c r="C149" s="9"/>
      <c r="D149" s="9"/>
      <c r="I149" s="10"/>
    </row>
    <row r="150" spans="1:9" ht="15.75" customHeight="1" x14ac:dyDescent="0.25">
      <c r="A150" s="9"/>
      <c r="B150" s="9"/>
      <c r="C150" s="9"/>
      <c r="D150" s="9"/>
      <c r="I150" s="10"/>
    </row>
    <row r="151" spans="1:9" ht="15.75" customHeight="1" x14ac:dyDescent="0.25">
      <c r="A151" s="9"/>
      <c r="B151" s="9"/>
      <c r="C151" s="9"/>
      <c r="D151" s="9"/>
      <c r="I151" s="10"/>
    </row>
    <row r="152" spans="1:9" ht="15.75" customHeight="1" x14ac:dyDescent="0.25">
      <c r="A152" s="9"/>
      <c r="B152" s="9"/>
      <c r="C152" s="9"/>
      <c r="D152" s="9"/>
      <c r="I152" s="10"/>
    </row>
    <row r="153" spans="1:9" ht="15.75" customHeight="1" x14ac:dyDescent="0.25">
      <c r="A153" s="9"/>
      <c r="B153" s="9"/>
      <c r="C153" s="9"/>
      <c r="D153" s="9"/>
      <c r="I153" s="10"/>
    </row>
    <row r="154" spans="1:9" ht="15.75" customHeight="1" x14ac:dyDescent="0.25">
      <c r="A154" s="9"/>
      <c r="B154" s="9"/>
      <c r="C154" s="9"/>
      <c r="D154" s="9"/>
      <c r="I154" s="10"/>
    </row>
    <row r="155" spans="1:9" ht="15.75" customHeight="1" x14ac:dyDescent="0.25">
      <c r="A155" s="9"/>
      <c r="B155" s="9"/>
      <c r="C155" s="9"/>
      <c r="D155" s="9"/>
      <c r="I155" s="10"/>
    </row>
    <row r="156" spans="1:9" ht="15.75" customHeight="1" x14ac:dyDescent="0.25">
      <c r="A156" s="9"/>
      <c r="B156" s="9"/>
      <c r="C156" s="9"/>
      <c r="D156" s="9"/>
      <c r="I156" s="10"/>
    </row>
    <row r="157" spans="1:9" ht="15.75" customHeight="1" x14ac:dyDescent="0.25">
      <c r="A157" s="9"/>
      <c r="B157" s="9"/>
      <c r="C157" s="9"/>
      <c r="D157" s="9"/>
      <c r="I157" s="10"/>
    </row>
    <row r="158" spans="1:9" ht="15.75" customHeight="1" x14ac:dyDescent="0.25">
      <c r="A158" s="9"/>
      <c r="B158" s="9"/>
      <c r="C158" s="9"/>
      <c r="D158" s="9"/>
      <c r="I158" s="10"/>
    </row>
    <row r="159" spans="1:9" ht="15.75" customHeight="1" x14ac:dyDescent="0.25">
      <c r="A159" s="9"/>
      <c r="B159" s="9"/>
      <c r="C159" s="9"/>
      <c r="D159" s="9"/>
      <c r="I159" s="10"/>
    </row>
    <row r="160" spans="1:9" ht="15.75" customHeight="1" x14ac:dyDescent="0.25">
      <c r="A160" s="9"/>
      <c r="B160" s="9"/>
      <c r="C160" s="9"/>
      <c r="D160" s="9"/>
      <c r="I160" s="10"/>
    </row>
    <row r="161" spans="1:9" ht="15.75" customHeight="1" x14ac:dyDescent="0.25">
      <c r="A161" s="9"/>
      <c r="B161" s="9"/>
      <c r="C161" s="9"/>
      <c r="D161" s="9"/>
      <c r="I161" s="10"/>
    </row>
    <row r="162" spans="1:9" ht="15.75" customHeight="1" x14ac:dyDescent="0.25">
      <c r="A162" s="9"/>
      <c r="B162" s="9"/>
      <c r="C162" s="9"/>
      <c r="D162" s="9"/>
      <c r="I162" s="10"/>
    </row>
    <row r="163" spans="1:9" ht="15.75" customHeight="1" x14ac:dyDescent="0.25">
      <c r="A163" s="9"/>
      <c r="B163" s="9"/>
      <c r="C163" s="9"/>
      <c r="D163" s="9"/>
      <c r="I163" s="10"/>
    </row>
    <row r="164" spans="1:9" ht="15.75" customHeight="1" x14ac:dyDescent="0.25">
      <c r="A164" s="9"/>
      <c r="B164" s="9"/>
      <c r="C164" s="9"/>
      <c r="D164" s="9"/>
      <c r="I164" s="10"/>
    </row>
    <row r="165" spans="1:9" ht="15.75" customHeight="1" x14ac:dyDescent="0.25">
      <c r="A165" s="9"/>
      <c r="B165" s="9"/>
      <c r="C165" s="9"/>
      <c r="D165" s="9"/>
      <c r="I165" s="10"/>
    </row>
    <row r="166" spans="1:9" ht="15.75" customHeight="1" x14ac:dyDescent="0.25">
      <c r="A166" s="9"/>
      <c r="B166" s="9"/>
      <c r="C166" s="9"/>
      <c r="D166" s="9"/>
      <c r="I166" s="10"/>
    </row>
    <row r="167" spans="1:9" ht="15.75" customHeight="1" x14ac:dyDescent="0.25">
      <c r="A167" s="9"/>
      <c r="B167" s="9"/>
      <c r="C167" s="9"/>
      <c r="D167" s="9"/>
      <c r="I167" s="10"/>
    </row>
    <row r="168" spans="1:9" ht="15.75" customHeight="1" x14ac:dyDescent="0.25">
      <c r="A168" s="9"/>
      <c r="B168" s="9"/>
      <c r="C168" s="9"/>
      <c r="D168" s="9"/>
      <c r="I168" s="10"/>
    </row>
    <row r="169" spans="1:9" ht="15.75" customHeight="1" x14ac:dyDescent="0.25">
      <c r="A169" s="9"/>
      <c r="B169" s="9"/>
      <c r="C169" s="9"/>
      <c r="D169" s="9"/>
      <c r="I169" s="10"/>
    </row>
    <row r="170" spans="1:9" ht="15.75" customHeight="1" x14ac:dyDescent="0.25">
      <c r="A170" s="9"/>
      <c r="B170" s="9"/>
      <c r="C170" s="9"/>
      <c r="D170" s="9"/>
      <c r="I170" s="10"/>
    </row>
    <row r="171" spans="1:9" ht="15.75" customHeight="1" x14ac:dyDescent="0.25">
      <c r="A171" s="9"/>
      <c r="B171" s="9"/>
      <c r="C171" s="9"/>
      <c r="D171" s="9"/>
      <c r="I171" s="10"/>
    </row>
    <row r="172" spans="1:9" ht="15.75" customHeight="1" x14ac:dyDescent="0.25">
      <c r="A172" s="9"/>
      <c r="B172" s="9"/>
      <c r="C172" s="9"/>
      <c r="D172" s="9"/>
      <c r="I172" s="10"/>
    </row>
    <row r="173" spans="1:9" ht="15.75" customHeight="1" x14ac:dyDescent="0.25">
      <c r="A173" s="9"/>
      <c r="B173" s="9"/>
      <c r="C173" s="9"/>
      <c r="D173" s="9"/>
      <c r="I173" s="10"/>
    </row>
    <row r="174" spans="1:9" ht="15.75" customHeight="1" x14ac:dyDescent="0.25">
      <c r="A174" s="9"/>
      <c r="B174" s="9"/>
      <c r="C174" s="9"/>
      <c r="D174" s="9"/>
      <c r="I174" s="10"/>
    </row>
    <row r="175" spans="1:9" ht="15.75" customHeight="1" x14ac:dyDescent="0.25">
      <c r="A175" s="9"/>
      <c r="B175" s="9"/>
      <c r="C175" s="9"/>
      <c r="D175" s="9"/>
      <c r="I175" s="10"/>
    </row>
    <row r="176" spans="1:9" ht="15.75" customHeight="1" x14ac:dyDescent="0.25">
      <c r="A176" s="9"/>
      <c r="B176" s="9"/>
      <c r="C176" s="9"/>
      <c r="D176" s="9"/>
      <c r="I176" s="10"/>
    </row>
    <row r="177" spans="1:9" ht="15.75" customHeight="1" x14ac:dyDescent="0.25">
      <c r="A177" s="9"/>
      <c r="B177" s="9"/>
      <c r="C177" s="9"/>
      <c r="D177" s="9"/>
      <c r="I177" s="10"/>
    </row>
    <row r="178" spans="1:9" ht="15.75" customHeight="1" x14ac:dyDescent="0.25">
      <c r="A178" s="9"/>
      <c r="B178" s="9"/>
      <c r="C178" s="9"/>
      <c r="D178" s="9"/>
      <c r="I178" s="10"/>
    </row>
    <row r="179" spans="1:9" ht="15.75" customHeight="1" x14ac:dyDescent="0.25">
      <c r="A179" s="9"/>
      <c r="B179" s="9"/>
      <c r="C179" s="9"/>
      <c r="D179" s="9"/>
      <c r="I179" s="10"/>
    </row>
    <row r="180" spans="1:9" ht="15.75" customHeight="1" x14ac:dyDescent="0.25">
      <c r="A180" s="9"/>
      <c r="B180" s="9"/>
      <c r="C180" s="9"/>
      <c r="D180" s="9"/>
      <c r="I180" s="10"/>
    </row>
    <row r="181" spans="1:9" ht="15.75" customHeight="1" x14ac:dyDescent="0.25">
      <c r="A181" s="9"/>
      <c r="B181" s="9"/>
      <c r="C181" s="9"/>
      <c r="D181" s="9"/>
      <c r="I181" s="10"/>
    </row>
    <row r="182" spans="1:9" ht="15.75" customHeight="1" x14ac:dyDescent="0.25">
      <c r="A182" s="9"/>
      <c r="B182" s="9"/>
      <c r="C182" s="9"/>
      <c r="D182" s="9"/>
      <c r="I182" s="10"/>
    </row>
    <row r="183" spans="1:9" ht="15.75" customHeight="1" x14ac:dyDescent="0.25">
      <c r="A183" s="9"/>
      <c r="B183" s="9"/>
      <c r="C183" s="9"/>
      <c r="D183" s="9"/>
      <c r="I183" s="10"/>
    </row>
    <row r="184" spans="1:9" ht="15.75" customHeight="1" x14ac:dyDescent="0.25">
      <c r="A184" s="9"/>
      <c r="B184" s="9"/>
      <c r="C184" s="9"/>
      <c r="D184" s="9"/>
      <c r="I184" s="10"/>
    </row>
    <row r="185" spans="1:9" ht="15.75" customHeight="1" x14ac:dyDescent="0.25">
      <c r="A185" s="9"/>
      <c r="B185" s="9"/>
      <c r="C185" s="9"/>
      <c r="D185" s="9"/>
      <c r="I185" s="10"/>
    </row>
    <row r="186" spans="1:9" ht="15.75" customHeight="1" x14ac:dyDescent="0.25">
      <c r="A186" s="9"/>
      <c r="B186" s="9"/>
      <c r="C186" s="9"/>
      <c r="D186" s="9"/>
      <c r="I186" s="10"/>
    </row>
    <row r="187" spans="1:9" ht="15.75" customHeight="1" x14ac:dyDescent="0.25">
      <c r="A187" s="9"/>
      <c r="B187" s="9"/>
      <c r="C187" s="9"/>
      <c r="D187" s="9"/>
      <c r="I187" s="10"/>
    </row>
    <row r="188" spans="1:9" ht="15.75" customHeight="1" x14ac:dyDescent="0.25">
      <c r="A188" s="9"/>
      <c r="B188" s="9"/>
      <c r="C188" s="9"/>
      <c r="D188" s="9"/>
      <c r="I188" s="10"/>
    </row>
    <row r="189" spans="1:9" ht="15.75" customHeight="1" x14ac:dyDescent="0.25">
      <c r="A189" s="9"/>
      <c r="B189" s="9"/>
      <c r="C189" s="9"/>
      <c r="D189" s="9"/>
      <c r="I189" s="10"/>
    </row>
    <row r="190" spans="1:9" ht="15.75" customHeight="1" x14ac:dyDescent="0.25">
      <c r="A190" s="9"/>
      <c r="B190" s="9"/>
      <c r="C190" s="9"/>
      <c r="D190" s="9"/>
      <c r="I190" s="10"/>
    </row>
    <row r="191" spans="1:9" ht="15.75" customHeight="1" x14ac:dyDescent="0.25">
      <c r="A191" s="9"/>
      <c r="B191" s="9"/>
      <c r="C191" s="9"/>
      <c r="D191" s="9"/>
      <c r="I191" s="10"/>
    </row>
    <row r="192" spans="1:9" ht="15.75" customHeight="1" x14ac:dyDescent="0.25">
      <c r="A192" s="9"/>
      <c r="B192" s="9"/>
      <c r="C192" s="9"/>
      <c r="D192" s="9"/>
      <c r="I192" s="10"/>
    </row>
    <row r="193" spans="1:9" ht="15.75" customHeight="1" x14ac:dyDescent="0.25">
      <c r="A193" s="9"/>
      <c r="B193" s="9"/>
      <c r="C193" s="9"/>
      <c r="D193" s="9"/>
      <c r="I193" s="10"/>
    </row>
    <row r="194" spans="1:9" ht="15.75" customHeight="1" x14ac:dyDescent="0.25">
      <c r="A194" s="9"/>
      <c r="B194" s="9"/>
      <c r="C194" s="9"/>
      <c r="D194" s="9"/>
      <c r="I194" s="10"/>
    </row>
    <row r="195" spans="1:9" ht="15.75" customHeight="1" x14ac:dyDescent="0.25">
      <c r="A195" s="9"/>
      <c r="B195" s="9"/>
      <c r="C195" s="9"/>
      <c r="D195" s="9"/>
      <c r="I195" s="10"/>
    </row>
    <row r="196" spans="1:9" ht="15.75" customHeight="1" x14ac:dyDescent="0.25">
      <c r="A196" s="9"/>
      <c r="B196" s="9"/>
      <c r="C196" s="9"/>
      <c r="D196" s="9"/>
      <c r="I196" s="10"/>
    </row>
    <row r="197" spans="1:9" ht="15.75" customHeight="1" x14ac:dyDescent="0.25">
      <c r="A197" s="9"/>
      <c r="B197" s="9"/>
      <c r="C197" s="9"/>
      <c r="D197" s="9"/>
      <c r="I197" s="10"/>
    </row>
    <row r="198" spans="1:9" ht="15.75" customHeight="1" x14ac:dyDescent="0.25">
      <c r="A198" s="9"/>
      <c r="B198" s="9"/>
      <c r="C198" s="9"/>
      <c r="D198" s="9"/>
      <c r="I198" s="10"/>
    </row>
    <row r="199" spans="1:9" ht="15.75" customHeight="1" x14ac:dyDescent="0.25">
      <c r="A199" s="9"/>
      <c r="B199" s="9"/>
      <c r="C199" s="9"/>
      <c r="D199" s="9"/>
      <c r="I199" s="10"/>
    </row>
    <row r="200" spans="1:9" ht="15.75" customHeight="1" x14ac:dyDescent="0.25">
      <c r="A200" s="9"/>
      <c r="B200" s="9"/>
      <c r="C200" s="9"/>
      <c r="D200" s="9"/>
      <c r="I200" s="10"/>
    </row>
    <row r="201" spans="1:9" ht="15.75" customHeight="1" x14ac:dyDescent="0.25">
      <c r="A201" s="9"/>
      <c r="B201" s="9"/>
      <c r="C201" s="9"/>
      <c r="D201" s="9"/>
      <c r="I201" s="10"/>
    </row>
    <row r="202" spans="1:9" ht="15.75" customHeight="1" x14ac:dyDescent="0.25">
      <c r="A202" s="9"/>
      <c r="B202" s="9"/>
      <c r="C202" s="9"/>
      <c r="D202" s="9"/>
      <c r="I202" s="10"/>
    </row>
    <row r="203" spans="1:9" ht="15.75" customHeight="1" x14ac:dyDescent="0.25">
      <c r="A203" s="9"/>
      <c r="B203" s="9"/>
      <c r="C203" s="9"/>
      <c r="D203" s="9"/>
      <c r="I203" s="10"/>
    </row>
    <row r="204" spans="1:9" ht="15.75" customHeight="1" x14ac:dyDescent="0.25">
      <c r="A204" s="9"/>
      <c r="B204" s="9"/>
      <c r="C204" s="9"/>
      <c r="D204" s="9"/>
      <c r="I204" s="10"/>
    </row>
    <row r="205" spans="1:9" ht="15.75" customHeight="1" x14ac:dyDescent="0.25">
      <c r="A205" s="9"/>
      <c r="B205" s="9"/>
      <c r="C205" s="9"/>
      <c r="D205" s="9"/>
      <c r="I205" s="10"/>
    </row>
    <row r="206" spans="1:9" ht="15.75" customHeight="1" x14ac:dyDescent="0.25">
      <c r="A206" s="9"/>
      <c r="B206" s="9"/>
      <c r="C206" s="9"/>
      <c r="D206" s="9"/>
      <c r="I206" s="10"/>
    </row>
    <row r="207" spans="1:9" ht="15.75" customHeight="1" x14ac:dyDescent="0.25">
      <c r="A207" s="9"/>
      <c r="B207" s="9"/>
      <c r="C207" s="9"/>
      <c r="D207" s="9"/>
      <c r="I207" s="10"/>
    </row>
    <row r="208" spans="1:9" ht="15.75" customHeight="1" x14ac:dyDescent="0.25">
      <c r="A208" s="9"/>
      <c r="B208" s="9"/>
      <c r="C208" s="9"/>
      <c r="D208" s="9"/>
      <c r="I208" s="10"/>
    </row>
    <row r="209" spans="1:9" ht="15.75" customHeight="1" x14ac:dyDescent="0.25">
      <c r="A209" s="9"/>
      <c r="B209" s="9"/>
      <c r="C209" s="9"/>
      <c r="D209" s="9"/>
      <c r="I209" s="10"/>
    </row>
    <row r="210" spans="1:9" ht="15.75" customHeight="1" x14ac:dyDescent="0.25">
      <c r="A210" s="9"/>
      <c r="B210" s="9"/>
      <c r="C210" s="9"/>
      <c r="D210" s="9"/>
      <c r="I210" s="10"/>
    </row>
    <row r="211" spans="1:9" ht="15.75" customHeight="1" x14ac:dyDescent="0.25">
      <c r="A211" s="9"/>
      <c r="B211" s="9"/>
      <c r="C211" s="9"/>
      <c r="D211" s="9"/>
      <c r="I211" s="10"/>
    </row>
    <row r="212" spans="1:9" ht="15.75" customHeight="1" x14ac:dyDescent="0.25">
      <c r="A212" s="9"/>
      <c r="B212" s="9"/>
      <c r="C212" s="9"/>
      <c r="D212" s="9"/>
      <c r="I212" s="10"/>
    </row>
    <row r="213" spans="1:9" ht="15.75" customHeight="1" x14ac:dyDescent="0.25">
      <c r="A213" s="9"/>
      <c r="B213" s="9"/>
      <c r="C213" s="9"/>
      <c r="D213" s="9"/>
      <c r="I213" s="10"/>
    </row>
    <row r="214" spans="1:9" ht="15.75" customHeight="1" x14ac:dyDescent="0.25">
      <c r="A214" s="9"/>
      <c r="B214" s="9"/>
      <c r="C214" s="9"/>
      <c r="D214" s="9"/>
      <c r="I214" s="10"/>
    </row>
    <row r="215" spans="1:9" ht="15.75" customHeight="1" x14ac:dyDescent="0.25">
      <c r="A215" s="9"/>
      <c r="B215" s="9"/>
      <c r="C215" s="9"/>
      <c r="D215" s="9"/>
      <c r="I215" s="10"/>
    </row>
    <row r="216" spans="1:9" ht="15.75" customHeight="1" x14ac:dyDescent="0.25">
      <c r="A216" s="9"/>
      <c r="B216" s="9"/>
      <c r="C216" s="9"/>
      <c r="D216" s="9"/>
      <c r="I216" s="10"/>
    </row>
    <row r="217" spans="1:9" ht="15.75" customHeight="1" x14ac:dyDescent="0.25">
      <c r="A217" s="9"/>
      <c r="B217" s="9"/>
      <c r="C217" s="9"/>
      <c r="D217" s="9"/>
      <c r="I217" s="10"/>
    </row>
    <row r="218" spans="1:9" ht="15.75" customHeight="1" x14ac:dyDescent="0.25">
      <c r="A218" s="9"/>
      <c r="B218" s="9"/>
      <c r="C218" s="9"/>
      <c r="D218" s="9"/>
      <c r="I218" s="10"/>
    </row>
    <row r="219" spans="1:9" ht="15.75" customHeight="1" x14ac:dyDescent="0.25">
      <c r="A219" s="9"/>
      <c r="B219" s="9"/>
      <c r="C219" s="9"/>
      <c r="D219" s="9"/>
      <c r="I219" s="10"/>
    </row>
    <row r="220" spans="1:9" ht="15.75" customHeight="1" x14ac:dyDescent="0.25">
      <c r="A220" s="9"/>
      <c r="B220" s="9"/>
      <c r="C220" s="9"/>
      <c r="D220" s="9"/>
      <c r="I220" s="10"/>
    </row>
    <row r="221" spans="1:9" ht="15.75" customHeight="1" x14ac:dyDescent="0.25">
      <c r="A221" s="9"/>
      <c r="B221" s="9"/>
      <c r="C221" s="9"/>
      <c r="D221" s="9"/>
      <c r="I221" s="10"/>
    </row>
    <row r="222" spans="1:9" ht="15.75" customHeight="1" x14ac:dyDescent="0.25">
      <c r="A222" s="9"/>
      <c r="B222" s="9"/>
      <c r="C222" s="9"/>
      <c r="D222" s="9"/>
      <c r="I222" s="10"/>
    </row>
    <row r="223" spans="1:9" ht="15.75" customHeight="1" x14ac:dyDescent="0.25">
      <c r="A223" s="9"/>
      <c r="B223" s="9"/>
      <c r="C223" s="9"/>
      <c r="D223" s="9"/>
      <c r="I223" s="10"/>
    </row>
    <row r="224" spans="1:9" ht="15.75" customHeight="1" x14ac:dyDescent="0.25">
      <c r="I224" s="10"/>
    </row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mergeCells count="2">
    <mergeCell ref="A13:G13"/>
    <mergeCell ref="A21:G21"/>
  </mergeCells>
  <dataValidations count="1">
    <dataValidation type="list" allowBlank="1" showErrorMessage="1" sqref="F15:F18 F23:F33" xr:uid="{00000000-0002-0000-0100-000000000000}">
      <formula1>"Avoid,Mitigate,Accept"</formula1>
    </dataValidation>
  </dataValidation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EE90F-ED4A-44E6-B18C-5E8AFB27F77E}">
  <sheetPr>
    <outlinePr summaryBelow="0" summaryRight="0"/>
  </sheetPr>
  <dimension ref="A1:AB231"/>
  <sheetViews>
    <sheetView zoomScale="53" zoomScaleNormal="70" workbookViewId="0">
      <selection activeCell="G8" sqref="G8"/>
    </sheetView>
  </sheetViews>
  <sheetFormatPr defaultColWidth="12.6640625" defaultRowHeight="25.8" customHeight="1" x14ac:dyDescent="0.25"/>
  <cols>
    <col min="1" max="1" width="5.77734375" style="20" customWidth="1"/>
    <col min="2" max="2" width="18.5546875" style="20" customWidth="1"/>
    <col min="3" max="3" width="11.21875" style="20" customWidth="1"/>
    <col min="4" max="4" width="15.44140625" style="20" customWidth="1"/>
    <col min="5" max="5" width="73.44140625" style="20" customWidth="1"/>
    <col min="6" max="6" width="10" style="20" customWidth="1"/>
    <col min="7" max="7" width="60.77734375" style="20" customWidth="1"/>
    <col min="8" max="8" width="12.6640625" style="20"/>
    <col min="9" max="9" width="59.44140625" style="20" customWidth="1"/>
    <col min="10" max="10" width="12.6640625" style="20" customWidth="1"/>
    <col min="11" max="11" width="14.33203125" style="20" customWidth="1"/>
    <col min="12" max="13" width="12.6640625" style="20"/>
    <col min="14" max="14" width="16.109375" style="20" customWidth="1"/>
    <col min="15" max="15" width="8.33203125" style="20" customWidth="1"/>
    <col min="16" max="16" width="47.109375" style="20" customWidth="1"/>
    <col min="17" max="17" width="27" style="20" customWidth="1"/>
    <col min="18" max="18" width="23.5546875" style="20" customWidth="1"/>
    <col min="19" max="19" width="12.6640625" style="20"/>
    <col min="20" max="20" width="8.88671875" style="20" customWidth="1"/>
    <col min="21" max="21" width="12.6640625" style="20"/>
    <col min="22" max="22" width="64.44140625" style="20" customWidth="1"/>
    <col min="23" max="24" width="12.6640625" style="20"/>
    <col min="25" max="25" width="75" style="20" customWidth="1"/>
    <col min="26" max="16384" width="12.6640625" style="20"/>
  </cols>
  <sheetData>
    <row r="1" spans="1:28" ht="25.8" customHeight="1" x14ac:dyDescent="0.25">
      <c r="A1" s="75" t="s">
        <v>0</v>
      </c>
      <c r="B1" s="75" t="s">
        <v>1</v>
      </c>
      <c r="C1" s="75" t="s">
        <v>2</v>
      </c>
      <c r="D1" s="75" t="s">
        <v>3</v>
      </c>
      <c r="I1" s="76" t="s">
        <v>4</v>
      </c>
      <c r="J1" s="75" t="s">
        <v>5</v>
      </c>
      <c r="K1" s="76" t="s">
        <v>6</v>
      </c>
      <c r="L1" s="75" t="s">
        <v>111</v>
      </c>
      <c r="M1" s="75" t="s">
        <v>110</v>
      </c>
    </row>
    <row r="2" spans="1:28" ht="25.8" customHeight="1" x14ac:dyDescent="0.25">
      <c r="A2" s="66">
        <v>1</v>
      </c>
      <c r="B2" s="74">
        <f>R43</f>
        <v>24</v>
      </c>
      <c r="C2" s="57">
        <f>SUM(M2:M9)</f>
        <v>24</v>
      </c>
      <c r="D2" s="73">
        <v>70</v>
      </c>
      <c r="I2" s="35" t="s">
        <v>92</v>
      </c>
      <c r="J2" s="43">
        <v>1</v>
      </c>
      <c r="K2" s="33" t="s">
        <v>97</v>
      </c>
      <c r="L2" s="72">
        <v>3</v>
      </c>
      <c r="M2" s="71">
        <v>3</v>
      </c>
    </row>
    <row r="3" spans="1:28" ht="25.8" customHeight="1" x14ac:dyDescent="0.25">
      <c r="A3" s="66">
        <v>2</v>
      </c>
      <c r="B3" s="65">
        <f>B2+R51</f>
        <v>28</v>
      </c>
      <c r="C3" s="57">
        <v>28</v>
      </c>
      <c r="D3" s="21"/>
      <c r="I3" s="35" t="s">
        <v>91</v>
      </c>
      <c r="J3" s="43">
        <v>1</v>
      </c>
      <c r="K3" s="33" t="s">
        <v>101</v>
      </c>
      <c r="L3" s="22">
        <v>3</v>
      </c>
      <c r="M3" s="22">
        <v>3</v>
      </c>
    </row>
    <row r="4" spans="1:28" ht="25.8" customHeight="1" x14ac:dyDescent="0.25">
      <c r="A4" s="66">
        <v>3</v>
      </c>
      <c r="B4" s="65">
        <f>B3+R53</f>
        <v>38</v>
      </c>
      <c r="C4" s="57">
        <v>28</v>
      </c>
      <c r="D4" s="21"/>
      <c r="I4" s="35" t="s">
        <v>90</v>
      </c>
      <c r="J4" s="43">
        <v>1</v>
      </c>
      <c r="K4" s="33" t="s">
        <v>100</v>
      </c>
      <c r="L4" s="22">
        <v>3</v>
      </c>
      <c r="M4" s="22">
        <v>3</v>
      </c>
      <c r="P4" s="68"/>
      <c r="Q4" s="68" t="s">
        <v>109</v>
      </c>
      <c r="R4" s="70"/>
    </row>
    <row r="5" spans="1:28" ht="25.8" customHeight="1" x14ac:dyDescent="0.25">
      <c r="A5" s="66">
        <v>4</v>
      </c>
      <c r="B5" s="65">
        <f>B4+R54</f>
        <v>46</v>
      </c>
      <c r="C5" s="57">
        <v>38</v>
      </c>
      <c r="D5" s="21"/>
      <c r="I5" s="35" t="s">
        <v>89</v>
      </c>
      <c r="J5" s="43">
        <v>1</v>
      </c>
      <c r="K5" s="33" t="s">
        <v>103</v>
      </c>
      <c r="L5" s="22">
        <v>3</v>
      </c>
      <c r="M5" s="22">
        <v>3</v>
      </c>
      <c r="P5" s="68" t="s">
        <v>6</v>
      </c>
      <c r="Q5" s="68" t="s">
        <v>108</v>
      </c>
      <c r="R5" s="67" t="s">
        <v>107</v>
      </c>
      <c r="AB5" s="69"/>
    </row>
    <row r="6" spans="1:28" ht="25.8" customHeight="1" x14ac:dyDescent="0.25">
      <c r="A6" s="66">
        <v>5</v>
      </c>
      <c r="B6" s="65">
        <f>B5+R62</f>
        <v>58</v>
      </c>
      <c r="C6" s="57">
        <v>46</v>
      </c>
      <c r="D6" s="21"/>
      <c r="I6" s="35" t="s">
        <v>86</v>
      </c>
      <c r="J6" s="43">
        <v>1</v>
      </c>
      <c r="K6" s="33" t="s">
        <v>105</v>
      </c>
      <c r="L6" s="22">
        <v>3</v>
      </c>
      <c r="M6" s="22">
        <v>3</v>
      </c>
      <c r="P6" s="68" t="s">
        <v>102</v>
      </c>
      <c r="Q6" s="68">
        <v>9</v>
      </c>
      <c r="R6" s="67">
        <v>5</v>
      </c>
    </row>
    <row r="7" spans="1:28" ht="25.8" customHeight="1" x14ac:dyDescent="0.25">
      <c r="A7" s="66">
        <v>6</v>
      </c>
      <c r="B7" s="65">
        <f>B6+R67</f>
        <v>70</v>
      </c>
      <c r="C7" s="57">
        <v>70</v>
      </c>
      <c r="D7" s="21"/>
      <c r="I7" s="35" t="s">
        <v>106</v>
      </c>
      <c r="J7" s="43">
        <v>1</v>
      </c>
      <c r="K7" s="33" t="s">
        <v>102</v>
      </c>
      <c r="L7" s="22">
        <v>3</v>
      </c>
      <c r="M7" s="22">
        <v>3</v>
      </c>
      <c r="P7" s="64" t="s">
        <v>101</v>
      </c>
      <c r="Q7" s="64">
        <v>9</v>
      </c>
      <c r="R7" s="63">
        <v>5</v>
      </c>
    </row>
    <row r="8" spans="1:28" ht="25.8" customHeight="1" x14ac:dyDescent="0.25">
      <c r="A8" s="21"/>
      <c r="B8" s="21"/>
      <c r="C8" s="21"/>
      <c r="D8" s="21"/>
      <c r="I8" s="35" t="s">
        <v>88</v>
      </c>
      <c r="J8" s="43">
        <v>1</v>
      </c>
      <c r="K8" s="33" t="s">
        <v>97</v>
      </c>
      <c r="L8" s="22">
        <v>3</v>
      </c>
      <c r="M8" s="22">
        <v>3</v>
      </c>
      <c r="P8" s="64" t="s">
        <v>103</v>
      </c>
      <c r="Q8" s="64">
        <v>11</v>
      </c>
      <c r="R8" s="63">
        <v>7</v>
      </c>
    </row>
    <row r="9" spans="1:28" ht="25.8" customHeight="1" x14ac:dyDescent="0.25">
      <c r="A9" s="21"/>
      <c r="B9" s="21"/>
      <c r="C9" s="21"/>
      <c r="D9" s="21"/>
      <c r="I9" s="35" t="s">
        <v>87</v>
      </c>
      <c r="J9" s="43">
        <v>1</v>
      </c>
      <c r="K9" s="33" t="s">
        <v>97</v>
      </c>
      <c r="L9" s="22">
        <v>3</v>
      </c>
      <c r="M9" s="22">
        <v>3</v>
      </c>
      <c r="P9" s="64" t="s">
        <v>105</v>
      </c>
      <c r="Q9" s="64">
        <v>3</v>
      </c>
      <c r="R9" s="63">
        <v>3</v>
      </c>
    </row>
    <row r="10" spans="1:28" ht="25.8" customHeight="1" x14ac:dyDescent="0.25">
      <c r="A10" s="21"/>
      <c r="B10" s="21"/>
      <c r="C10" s="21"/>
      <c r="D10" s="21"/>
      <c r="I10" s="35" t="s">
        <v>84</v>
      </c>
      <c r="J10" s="43">
        <v>1</v>
      </c>
      <c r="K10" s="33" t="s">
        <v>103</v>
      </c>
      <c r="L10" s="22">
        <v>2</v>
      </c>
      <c r="M10" s="22">
        <v>2</v>
      </c>
      <c r="P10" s="64" t="s">
        <v>97</v>
      </c>
      <c r="Q10" s="64">
        <v>27</v>
      </c>
      <c r="R10" s="63">
        <v>19</v>
      </c>
    </row>
    <row r="11" spans="1:28" ht="25.8" customHeight="1" x14ac:dyDescent="0.25">
      <c r="A11" s="21"/>
      <c r="B11" s="21"/>
      <c r="C11" s="21"/>
      <c r="D11" s="21"/>
      <c r="I11" s="35" t="s">
        <v>83</v>
      </c>
      <c r="J11" s="43">
        <v>1</v>
      </c>
      <c r="K11" s="33" t="s">
        <v>100</v>
      </c>
      <c r="L11" s="22">
        <v>2</v>
      </c>
      <c r="M11" s="22">
        <v>2</v>
      </c>
      <c r="P11" s="64" t="s">
        <v>100</v>
      </c>
      <c r="Q11" s="64">
        <v>11</v>
      </c>
      <c r="R11" s="63">
        <v>7</v>
      </c>
    </row>
    <row r="12" spans="1:28" ht="25.8" customHeight="1" x14ac:dyDescent="0.25">
      <c r="A12" s="96" t="s">
        <v>13</v>
      </c>
      <c r="B12" s="97"/>
      <c r="C12" s="97"/>
      <c r="D12" s="97"/>
      <c r="E12" s="97"/>
      <c r="F12" s="97"/>
      <c r="G12" s="97"/>
      <c r="I12" s="35" t="s">
        <v>82</v>
      </c>
      <c r="J12" s="43">
        <v>1</v>
      </c>
      <c r="K12" s="33" t="s">
        <v>97</v>
      </c>
      <c r="L12" s="22">
        <v>10</v>
      </c>
      <c r="M12" s="22">
        <v>10</v>
      </c>
      <c r="P12" s="62" t="s">
        <v>104</v>
      </c>
      <c r="Q12" s="62">
        <v>70</v>
      </c>
      <c r="R12" s="61">
        <v>46</v>
      </c>
    </row>
    <row r="13" spans="1:28" ht="25.8" customHeight="1" x14ac:dyDescent="0.25">
      <c r="A13" s="55" t="s">
        <v>14</v>
      </c>
      <c r="B13" s="59" t="s">
        <v>15</v>
      </c>
      <c r="C13" s="59" t="s">
        <v>16</v>
      </c>
      <c r="D13" s="59" t="s">
        <v>17</v>
      </c>
      <c r="E13" s="59" t="s">
        <v>18</v>
      </c>
      <c r="F13" s="60" t="s">
        <v>19</v>
      </c>
      <c r="G13" s="59" t="s">
        <v>20</v>
      </c>
      <c r="I13" s="35" t="s">
        <v>81</v>
      </c>
      <c r="J13" s="43">
        <v>1</v>
      </c>
      <c r="K13" s="33" t="s">
        <v>100</v>
      </c>
      <c r="L13" s="22">
        <v>1</v>
      </c>
      <c r="M13" s="22">
        <v>1</v>
      </c>
    </row>
    <row r="14" spans="1:28" ht="25.8" customHeight="1" x14ac:dyDescent="0.25">
      <c r="A14" s="22"/>
      <c r="B14" s="51"/>
      <c r="C14" s="32"/>
      <c r="D14" s="32"/>
      <c r="E14" s="32"/>
      <c r="F14" s="58"/>
      <c r="G14" s="37"/>
      <c r="I14" s="35" t="s">
        <v>80</v>
      </c>
      <c r="J14" s="43">
        <v>1</v>
      </c>
      <c r="K14" s="33" t="s">
        <v>103</v>
      </c>
      <c r="L14" s="22">
        <v>1</v>
      </c>
      <c r="M14" s="22">
        <v>1</v>
      </c>
    </row>
    <row r="15" spans="1:28" ht="25.8" customHeight="1" x14ac:dyDescent="0.25">
      <c r="A15" s="22"/>
      <c r="B15" s="22"/>
      <c r="C15" s="32"/>
      <c r="D15" s="32"/>
      <c r="E15" s="32"/>
      <c r="F15" s="57"/>
      <c r="G15" s="56"/>
      <c r="I15" s="35" t="s">
        <v>79</v>
      </c>
      <c r="J15" s="43">
        <v>1</v>
      </c>
      <c r="K15" s="33" t="s">
        <v>101</v>
      </c>
      <c r="L15" s="22">
        <v>1</v>
      </c>
      <c r="M15" s="22">
        <v>1</v>
      </c>
    </row>
    <row r="16" spans="1:28" ht="25.8" customHeight="1" x14ac:dyDescent="0.25">
      <c r="A16" s="22"/>
      <c r="B16" s="22"/>
      <c r="C16" s="32"/>
      <c r="D16" s="32"/>
      <c r="E16" s="32"/>
      <c r="F16" s="39"/>
      <c r="G16" s="29"/>
      <c r="I16" s="35" t="s">
        <v>78</v>
      </c>
      <c r="J16" s="43">
        <v>1</v>
      </c>
      <c r="K16" s="33" t="s">
        <v>102</v>
      </c>
      <c r="L16" s="22">
        <v>1</v>
      </c>
      <c r="M16" s="22">
        <v>1</v>
      </c>
    </row>
    <row r="17" spans="1:13" ht="25.8" customHeight="1" x14ac:dyDescent="0.25">
      <c r="A17" s="22"/>
      <c r="B17" s="37"/>
      <c r="C17" s="32"/>
      <c r="D17" s="32"/>
      <c r="E17" s="32"/>
      <c r="F17" s="41"/>
      <c r="G17" s="29"/>
      <c r="I17" s="35" t="s">
        <v>77</v>
      </c>
      <c r="J17" s="43">
        <v>1</v>
      </c>
      <c r="K17" s="33" t="s">
        <v>100</v>
      </c>
      <c r="L17" s="22">
        <v>1</v>
      </c>
      <c r="M17" s="22">
        <v>1</v>
      </c>
    </row>
    <row r="18" spans="1:13" ht="25.8" customHeight="1" x14ac:dyDescent="0.25">
      <c r="A18" s="22"/>
      <c r="B18" s="22"/>
      <c r="C18" s="32"/>
      <c r="D18" s="32"/>
      <c r="E18" s="32"/>
      <c r="F18" s="32"/>
      <c r="G18" s="36"/>
      <c r="I18" s="35" t="s">
        <v>76</v>
      </c>
      <c r="J18" s="43">
        <v>1</v>
      </c>
      <c r="K18" s="33" t="s">
        <v>103</v>
      </c>
      <c r="L18" s="22">
        <v>1</v>
      </c>
      <c r="M18" s="22">
        <v>1</v>
      </c>
    </row>
    <row r="19" spans="1:13" ht="25.8" customHeight="1" x14ac:dyDescent="0.25">
      <c r="A19" s="32"/>
      <c r="B19" s="32"/>
      <c r="C19" s="32"/>
      <c r="D19" s="32"/>
      <c r="E19" s="32"/>
      <c r="F19" s="32"/>
      <c r="G19" s="32"/>
      <c r="I19" s="35" t="s">
        <v>75</v>
      </c>
      <c r="J19" s="43">
        <v>1</v>
      </c>
      <c r="K19" s="33" t="s">
        <v>101</v>
      </c>
      <c r="L19" s="22">
        <v>1</v>
      </c>
      <c r="M19" s="22">
        <v>1</v>
      </c>
    </row>
    <row r="20" spans="1:13" ht="25.8" customHeight="1" x14ac:dyDescent="0.25">
      <c r="A20" s="32"/>
      <c r="B20" s="32"/>
      <c r="C20" s="32"/>
      <c r="D20" s="32"/>
      <c r="E20" s="32"/>
      <c r="F20" s="32"/>
      <c r="G20" s="32"/>
      <c r="I20" s="35" t="s">
        <v>74</v>
      </c>
      <c r="J20" s="43">
        <v>1</v>
      </c>
      <c r="K20" s="43" t="s">
        <v>102</v>
      </c>
      <c r="L20" s="22">
        <v>1</v>
      </c>
      <c r="M20" s="22">
        <v>1</v>
      </c>
    </row>
    <row r="21" spans="1:13" ht="25.8" customHeight="1" x14ac:dyDescent="0.25">
      <c r="A21" s="32"/>
      <c r="B21" s="32"/>
      <c r="C21" s="32"/>
      <c r="D21" s="32"/>
      <c r="E21" s="32"/>
      <c r="F21" s="32"/>
      <c r="G21" s="32"/>
      <c r="I21" s="35" t="s">
        <v>73</v>
      </c>
      <c r="J21" s="43">
        <v>1</v>
      </c>
      <c r="K21" s="43" t="s">
        <v>103</v>
      </c>
      <c r="L21" s="22">
        <v>2</v>
      </c>
      <c r="M21" s="22">
        <v>2</v>
      </c>
    </row>
    <row r="22" spans="1:13" ht="25.8" customHeight="1" x14ac:dyDescent="0.25">
      <c r="A22" s="32"/>
      <c r="B22" s="32"/>
      <c r="C22" s="32"/>
      <c r="D22" s="32"/>
      <c r="E22" s="32"/>
      <c r="F22" s="32"/>
      <c r="G22" s="32"/>
      <c r="I22" s="35" t="s">
        <v>72</v>
      </c>
      <c r="J22" s="43">
        <v>1</v>
      </c>
      <c r="K22" s="43" t="s">
        <v>102</v>
      </c>
      <c r="L22" s="22">
        <v>2</v>
      </c>
      <c r="M22" s="22">
        <v>2</v>
      </c>
    </row>
    <row r="23" spans="1:13" ht="25.8" customHeight="1" x14ac:dyDescent="0.25">
      <c r="A23" s="32"/>
      <c r="B23" s="32"/>
      <c r="C23" s="32"/>
      <c r="D23" s="32"/>
      <c r="E23" s="32"/>
      <c r="F23" s="32"/>
      <c r="G23" s="32"/>
      <c r="I23" s="35" t="s">
        <v>71</v>
      </c>
      <c r="J23" s="43">
        <v>1</v>
      </c>
      <c r="K23" s="43" t="s">
        <v>100</v>
      </c>
      <c r="L23" s="22">
        <v>2</v>
      </c>
      <c r="M23" s="22">
        <v>2</v>
      </c>
    </row>
    <row r="24" spans="1:13" ht="25.8" customHeight="1" x14ac:dyDescent="0.25">
      <c r="A24" s="32"/>
      <c r="B24" s="32"/>
      <c r="C24" s="32"/>
      <c r="D24" s="32"/>
      <c r="E24" s="32"/>
      <c r="F24" s="32"/>
      <c r="G24" s="32"/>
      <c r="I24" s="35" t="s">
        <v>70</v>
      </c>
      <c r="J24" s="43">
        <v>1</v>
      </c>
      <c r="K24" s="43" t="s">
        <v>101</v>
      </c>
      <c r="L24" s="22">
        <v>2</v>
      </c>
      <c r="M24" s="22">
        <v>2</v>
      </c>
    </row>
    <row r="25" spans="1:13" ht="25.8" customHeight="1" x14ac:dyDescent="0.25">
      <c r="A25" s="32"/>
      <c r="B25" s="32"/>
      <c r="C25" s="32"/>
      <c r="D25" s="32"/>
      <c r="E25" s="32"/>
      <c r="F25" s="32"/>
      <c r="G25" s="32"/>
      <c r="I25" s="35" t="s">
        <v>69</v>
      </c>
      <c r="J25" s="43">
        <v>1</v>
      </c>
      <c r="K25" s="43" t="s">
        <v>97</v>
      </c>
      <c r="L25" s="22">
        <v>4</v>
      </c>
      <c r="M25" s="22">
        <v>4</v>
      </c>
    </row>
    <row r="26" spans="1:13" ht="25.8" customHeight="1" x14ac:dyDescent="0.25">
      <c r="A26" s="21"/>
      <c r="B26" s="21"/>
      <c r="C26" s="21"/>
      <c r="D26" s="21"/>
      <c r="I26" s="35" t="s">
        <v>68</v>
      </c>
      <c r="J26" s="43">
        <v>1</v>
      </c>
      <c r="K26" s="43" t="s">
        <v>103</v>
      </c>
      <c r="L26" s="22">
        <v>2</v>
      </c>
      <c r="M26" s="22">
        <v>2</v>
      </c>
    </row>
    <row r="27" spans="1:13" ht="25.8" customHeight="1" x14ac:dyDescent="0.25">
      <c r="A27" s="21"/>
      <c r="B27" s="21"/>
      <c r="C27" s="21"/>
      <c r="D27" s="21"/>
      <c r="I27" s="35" t="s">
        <v>67</v>
      </c>
      <c r="J27" s="43">
        <v>1</v>
      </c>
      <c r="K27" s="43" t="s">
        <v>102</v>
      </c>
      <c r="L27" s="22">
        <v>2</v>
      </c>
      <c r="M27" s="22">
        <v>2</v>
      </c>
    </row>
    <row r="28" spans="1:13" ht="25.8" customHeight="1" x14ac:dyDescent="0.25">
      <c r="A28" s="96" t="s">
        <v>52</v>
      </c>
      <c r="B28" s="97"/>
      <c r="C28" s="97"/>
      <c r="D28" s="97"/>
      <c r="E28" s="97"/>
      <c r="F28" s="97"/>
      <c r="G28" s="97"/>
      <c r="I28" s="35" t="s">
        <v>66</v>
      </c>
      <c r="J28" s="43">
        <v>1</v>
      </c>
      <c r="K28" s="43" t="s">
        <v>101</v>
      </c>
      <c r="L28" s="22">
        <v>2</v>
      </c>
      <c r="M28" s="22">
        <v>2</v>
      </c>
    </row>
    <row r="29" spans="1:13" ht="25.8" customHeight="1" x14ac:dyDescent="0.25">
      <c r="A29" s="55" t="s">
        <v>14</v>
      </c>
      <c r="B29" s="54" t="s">
        <v>53</v>
      </c>
      <c r="C29" s="54" t="s">
        <v>16</v>
      </c>
      <c r="D29" s="54" t="s">
        <v>17</v>
      </c>
      <c r="E29" s="53" t="s">
        <v>18</v>
      </c>
      <c r="F29" s="53" t="s">
        <v>19</v>
      </c>
      <c r="G29" s="53" t="s">
        <v>20</v>
      </c>
      <c r="I29" s="35" t="s">
        <v>65</v>
      </c>
      <c r="J29" s="43">
        <v>1</v>
      </c>
      <c r="K29" s="43" t="s">
        <v>100</v>
      </c>
      <c r="L29" s="22">
        <v>2</v>
      </c>
      <c r="M29" s="22">
        <v>2</v>
      </c>
    </row>
    <row r="30" spans="1:13" ht="25.8" customHeight="1" x14ac:dyDescent="0.25">
      <c r="A30" s="41">
        <v>1</v>
      </c>
      <c r="B30" s="52"/>
      <c r="C30" s="51">
        <v>5</v>
      </c>
      <c r="D30" s="50">
        <v>5</v>
      </c>
      <c r="E30" s="49" t="s">
        <v>99</v>
      </c>
      <c r="F30" s="48" t="s">
        <v>29</v>
      </c>
      <c r="G30" s="47" t="s">
        <v>98</v>
      </c>
      <c r="I30" s="35" t="s">
        <v>64</v>
      </c>
      <c r="J30" s="43">
        <v>1</v>
      </c>
      <c r="K30" s="43" t="s">
        <v>97</v>
      </c>
      <c r="L30" s="22">
        <v>4</v>
      </c>
      <c r="M30" s="22">
        <v>4</v>
      </c>
    </row>
    <row r="31" spans="1:13" ht="25.8" customHeight="1" x14ac:dyDescent="0.25">
      <c r="A31" s="41"/>
      <c r="B31" s="40"/>
      <c r="C31" s="22"/>
      <c r="D31" s="41"/>
      <c r="E31" s="46" t="s">
        <v>96</v>
      </c>
      <c r="F31" s="45"/>
      <c r="G31" s="44"/>
      <c r="I31" s="35"/>
      <c r="J31" s="43"/>
      <c r="K31" s="33"/>
      <c r="L31" s="22"/>
      <c r="M31" s="22"/>
    </row>
    <row r="32" spans="1:13" ht="25.8" customHeight="1" x14ac:dyDescent="0.25">
      <c r="A32" s="41"/>
      <c r="B32" s="40"/>
      <c r="C32" s="32"/>
      <c r="D32" s="32"/>
      <c r="E32" s="32"/>
      <c r="F32" s="39"/>
      <c r="G32" s="42"/>
      <c r="I32" s="35"/>
      <c r="J32" s="34"/>
      <c r="K32" s="33"/>
      <c r="L32" s="22"/>
      <c r="M32" s="22"/>
    </row>
    <row r="33" spans="1:18" ht="25.8" customHeight="1" x14ac:dyDescent="0.25">
      <c r="A33" s="41"/>
      <c r="B33" s="40"/>
      <c r="C33" s="32"/>
      <c r="D33" s="32"/>
      <c r="E33" s="32"/>
      <c r="F33" s="39"/>
      <c r="G33" s="29"/>
      <c r="I33" s="35"/>
      <c r="J33" s="34"/>
      <c r="K33" s="38"/>
      <c r="L33" s="22"/>
      <c r="M33" s="22"/>
    </row>
    <row r="34" spans="1:18" ht="25.8" customHeight="1" x14ac:dyDescent="0.25">
      <c r="A34" s="32"/>
      <c r="B34" s="32"/>
      <c r="C34" s="37"/>
      <c r="D34" s="37"/>
      <c r="E34" s="37"/>
      <c r="F34" s="32"/>
      <c r="G34" s="36"/>
      <c r="I34" s="35"/>
      <c r="J34" s="34"/>
      <c r="K34" s="33"/>
      <c r="L34" s="22"/>
      <c r="M34" s="22"/>
    </row>
    <row r="35" spans="1:18" ht="25.8" customHeight="1" x14ac:dyDescent="0.25">
      <c r="A35" s="32"/>
      <c r="B35" s="32"/>
      <c r="C35" s="32"/>
      <c r="D35" s="32"/>
      <c r="E35" s="32"/>
      <c r="F35" s="32"/>
      <c r="G35" s="32"/>
      <c r="I35" s="35"/>
      <c r="J35" s="34"/>
      <c r="K35" s="33"/>
      <c r="L35" s="22"/>
      <c r="M35" s="22"/>
    </row>
    <row r="36" spans="1:18" ht="25.8" customHeight="1" x14ac:dyDescent="0.25">
      <c r="A36" s="32"/>
      <c r="B36" s="32"/>
      <c r="C36" s="32"/>
      <c r="D36" s="32"/>
      <c r="E36" s="32"/>
      <c r="F36" s="32"/>
      <c r="G36" s="32"/>
      <c r="I36" s="35"/>
      <c r="J36" s="34"/>
      <c r="K36" s="33"/>
      <c r="L36" s="22"/>
      <c r="M36" s="22"/>
    </row>
    <row r="37" spans="1:18" ht="25.8" customHeight="1" x14ac:dyDescent="0.25">
      <c r="A37" s="32"/>
      <c r="B37" s="32"/>
      <c r="C37" s="32"/>
      <c r="D37" s="32"/>
      <c r="E37" s="32"/>
      <c r="F37" s="32"/>
      <c r="G37" s="32"/>
      <c r="K37" s="23" t="s">
        <v>63</v>
      </c>
      <c r="L37" s="22">
        <f>SUM(L2:L36)</f>
        <v>70</v>
      </c>
      <c r="M37" s="22">
        <f>SUM(M2:M36)</f>
        <v>70</v>
      </c>
    </row>
    <row r="38" spans="1:18" ht="25.8" customHeight="1" x14ac:dyDescent="0.25">
      <c r="A38" s="32"/>
      <c r="B38" s="32"/>
      <c r="C38" s="32"/>
      <c r="D38" s="32"/>
      <c r="E38" s="32"/>
      <c r="F38" s="32"/>
      <c r="G38" s="32"/>
    </row>
    <row r="39" spans="1:18" ht="25.8" customHeight="1" x14ac:dyDescent="0.25">
      <c r="A39" s="32"/>
      <c r="B39" s="32"/>
      <c r="C39" s="32"/>
      <c r="D39" s="32"/>
      <c r="E39" s="32"/>
      <c r="F39" s="32"/>
      <c r="G39" s="32"/>
    </row>
    <row r="40" spans="1:18" ht="25.8" customHeight="1" x14ac:dyDescent="0.25">
      <c r="A40" s="32"/>
      <c r="B40" s="32"/>
      <c r="C40" s="32"/>
      <c r="D40" s="32"/>
      <c r="E40" s="32"/>
      <c r="F40" s="32"/>
      <c r="G40" s="32"/>
    </row>
    <row r="41" spans="1:18" ht="25.8" customHeight="1" x14ac:dyDescent="0.25">
      <c r="A41" s="21"/>
      <c r="B41" s="21"/>
      <c r="C41" s="21"/>
      <c r="D41" s="21"/>
    </row>
    <row r="42" spans="1:18" ht="25.8" customHeight="1" x14ac:dyDescent="0.25">
      <c r="A42" s="21"/>
      <c r="B42" s="21"/>
      <c r="C42" s="21"/>
      <c r="D42" s="21"/>
      <c r="N42" s="31" t="s">
        <v>0</v>
      </c>
      <c r="O42" s="31" t="s">
        <v>1</v>
      </c>
      <c r="P42" s="31" t="s">
        <v>95</v>
      </c>
      <c r="Q42" s="31" t="s">
        <v>94</v>
      </c>
      <c r="R42" s="30" t="s">
        <v>93</v>
      </c>
    </row>
    <row r="43" spans="1:18" ht="25.8" customHeight="1" x14ac:dyDescent="0.25">
      <c r="A43" s="21"/>
      <c r="B43" s="21"/>
      <c r="C43" s="21"/>
      <c r="D43" s="21"/>
      <c r="N43" s="98">
        <v>1</v>
      </c>
      <c r="O43" s="25">
        <f>VLOOKUP(P43,$I$2:$L$36,4,FALSE)</f>
        <v>3</v>
      </c>
      <c r="P43" s="24" t="s">
        <v>92</v>
      </c>
      <c r="Q43" s="24" t="str">
        <f>VLOOKUP(P43,$I$2:$L$36,3,FALSE)</f>
        <v>nabil</v>
      </c>
      <c r="R43" s="101">
        <f>SUM(O43:O50)</f>
        <v>24</v>
      </c>
    </row>
    <row r="44" spans="1:18" ht="25.8" customHeight="1" x14ac:dyDescent="0.25">
      <c r="A44" s="21"/>
      <c r="B44" s="21"/>
      <c r="C44" s="21"/>
      <c r="D44" s="21"/>
      <c r="N44" s="99"/>
      <c r="O44" s="25">
        <f t="shared" ref="O44:O71" si="0">VLOOKUP(P44,$I$3:$L$36,4,FALSE)</f>
        <v>3</v>
      </c>
      <c r="P44" s="24" t="s">
        <v>91</v>
      </c>
      <c r="Q44" s="24" t="str">
        <f t="shared" ref="Q44:Q71" si="1">VLOOKUP(P44,$I$3:$L$36,3,FALSE)</f>
        <v>alaaa</v>
      </c>
      <c r="R44" s="101"/>
    </row>
    <row r="45" spans="1:18" ht="25.8" customHeight="1" x14ac:dyDescent="0.25">
      <c r="A45" s="21"/>
      <c r="B45" s="21"/>
      <c r="C45" s="21"/>
      <c r="D45" s="21"/>
      <c r="N45" s="99"/>
      <c r="O45" s="25">
        <f t="shared" si="0"/>
        <v>3</v>
      </c>
      <c r="P45" s="24" t="s">
        <v>90</v>
      </c>
      <c r="Q45" s="24" t="str">
        <f t="shared" si="1"/>
        <v>zahraan</v>
      </c>
      <c r="R45" s="101"/>
    </row>
    <row r="46" spans="1:18" ht="25.8" customHeight="1" x14ac:dyDescent="0.25">
      <c r="A46" s="21"/>
      <c r="B46" s="21"/>
      <c r="C46" s="21"/>
      <c r="D46" s="21"/>
      <c r="N46" s="99"/>
      <c r="O46" s="25">
        <f t="shared" si="0"/>
        <v>3</v>
      </c>
      <c r="P46" s="24" t="s">
        <v>89</v>
      </c>
      <c r="Q46" s="24" t="str">
        <f t="shared" si="1"/>
        <v>alhussin</v>
      </c>
      <c r="R46" s="101"/>
    </row>
    <row r="47" spans="1:18" ht="25.8" customHeight="1" x14ac:dyDescent="0.25">
      <c r="A47" s="21"/>
      <c r="B47" s="21"/>
      <c r="C47" s="21"/>
      <c r="D47" s="21"/>
      <c r="N47" s="99"/>
      <c r="O47" s="25">
        <f t="shared" si="0"/>
        <v>3</v>
      </c>
      <c r="P47" s="24" t="s">
        <v>88</v>
      </c>
      <c r="Q47" s="24" t="str">
        <f t="shared" si="1"/>
        <v>nabil</v>
      </c>
      <c r="R47" s="101"/>
    </row>
    <row r="48" spans="1:18" ht="25.8" customHeight="1" x14ac:dyDescent="0.25">
      <c r="A48" s="21"/>
      <c r="B48" s="21"/>
      <c r="C48" s="21"/>
      <c r="D48" s="21"/>
      <c r="N48" s="99"/>
      <c r="O48" s="25">
        <f t="shared" si="0"/>
        <v>3</v>
      </c>
      <c r="P48" s="24" t="s">
        <v>87</v>
      </c>
      <c r="Q48" s="24" t="str">
        <f t="shared" si="1"/>
        <v>nabil</v>
      </c>
      <c r="R48" s="101"/>
    </row>
    <row r="49" spans="1:18" ht="25.8" customHeight="1" x14ac:dyDescent="0.25">
      <c r="A49" s="21"/>
      <c r="B49" s="21"/>
      <c r="C49" s="21"/>
      <c r="D49" s="21"/>
      <c r="N49" s="99"/>
      <c r="O49" s="25">
        <f t="shared" si="0"/>
        <v>3</v>
      </c>
      <c r="P49" s="29" t="s">
        <v>86</v>
      </c>
      <c r="Q49" s="24" t="str">
        <f t="shared" si="1"/>
        <v>Boda</v>
      </c>
      <c r="R49" s="101"/>
    </row>
    <row r="50" spans="1:18" ht="25.8" customHeight="1" x14ac:dyDescent="0.25">
      <c r="A50" s="21"/>
      <c r="B50" s="21"/>
      <c r="C50" s="21"/>
      <c r="D50" s="21"/>
      <c r="N50" s="100"/>
      <c r="O50" s="25">
        <f t="shared" si="0"/>
        <v>3</v>
      </c>
      <c r="P50" s="24" t="s">
        <v>85</v>
      </c>
      <c r="Q50" s="24" t="str">
        <f t="shared" si="1"/>
        <v>abdalrahman</v>
      </c>
      <c r="R50" s="102"/>
    </row>
    <row r="51" spans="1:18" ht="25.8" customHeight="1" x14ac:dyDescent="0.25">
      <c r="A51" s="21"/>
      <c r="B51" s="21"/>
      <c r="C51" s="21"/>
      <c r="D51" s="21"/>
      <c r="N51" s="98">
        <v>2</v>
      </c>
      <c r="O51" s="25">
        <f t="shared" si="0"/>
        <v>2</v>
      </c>
      <c r="P51" s="24" t="s">
        <v>84</v>
      </c>
      <c r="Q51" s="28" t="str">
        <f t="shared" si="1"/>
        <v>alhussin</v>
      </c>
      <c r="R51" s="103">
        <f>SUM(O51:O52)</f>
        <v>4</v>
      </c>
    </row>
    <row r="52" spans="1:18" ht="25.8" customHeight="1" x14ac:dyDescent="0.25">
      <c r="A52" s="21"/>
      <c r="B52" s="21"/>
      <c r="C52" s="21"/>
      <c r="D52" s="21"/>
      <c r="N52" s="99"/>
      <c r="O52" s="25">
        <f t="shared" si="0"/>
        <v>2</v>
      </c>
      <c r="P52" s="24" t="s">
        <v>83</v>
      </c>
      <c r="Q52" s="28" t="str">
        <f t="shared" si="1"/>
        <v>zahraan</v>
      </c>
      <c r="R52" s="103"/>
    </row>
    <row r="53" spans="1:18" ht="25.8" customHeight="1" x14ac:dyDescent="0.25">
      <c r="A53" s="21"/>
      <c r="B53" s="21"/>
      <c r="C53" s="21"/>
      <c r="D53" s="21"/>
      <c r="N53" s="27">
        <v>3</v>
      </c>
      <c r="O53" s="25">
        <f t="shared" si="0"/>
        <v>10</v>
      </c>
      <c r="P53" s="24" t="s">
        <v>82</v>
      </c>
      <c r="Q53" s="24" t="str">
        <f t="shared" si="1"/>
        <v>nabil</v>
      </c>
      <c r="R53" s="26">
        <f>SUM(O53:O53)</f>
        <v>10</v>
      </c>
    </row>
    <row r="54" spans="1:18" ht="25.8" customHeight="1" x14ac:dyDescent="0.25">
      <c r="A54" s="21"/>
      <c r="B54" s="21"/>
      <c r="C54" s="21"/>
      <c r="D54" s="21"/>
      <c r="N54" s="104">
        <v>4</v>
      </c>
      <c r="O54" s="25">
        <f t="shared" si="0"/>
        <v>1</v>
      </c>
      <c r="P54" s="24" t="s">
        <v>81</v>
      </c>
      <c r="Q54" s="24" t="str">
        <f t="shared" si="1"/>
        <v>zahraan</v>
      </c>
      <c r="R54" s="106">
        <f>SUM(O54:O61)</f>
        <v>8</v>
      </c>
    </row>
    <row r="55" spans="1:18" ht="25.8" customHeight="1" x14ac:dyDescent="0.25">
      <c r="A55" s="21"/>
      <c r="B55" s="21"/>
      <c r="C55" s="21"/>
      <c r="D55" s="21"/>
      <c r="N55" s="105"/>
      <c r="O55" s="25">
        <f t="shared" si="0"/>
        <v>1</v>
      </c>
      <c r="P55" s="24" t="s">
        <v>80</v>
      </c>
      <c r="Q55" s="24" t="str">
        <f t="shared" si="1"/>
        <v>alhussin</v>
      </c>
      <c r="R55" s="101"/>
    </row>
    <row r="56" spans="1:18" ht="25.8" customHeight="1" x14ac:dyDescent="0.25">
      <c r="A56" s="21"/>
      <c r="B56" s="21"/>
      <c r="C56" s="21"/>
      <c r="D56" s="21"/>
      <c r="N56" s="105"/>
      <c r="O56" s="25">
        <f t="shared" si="0"/>
        <v>1</v>
      </c>
      <c r="P56" s="24" t="s">
        <v>79</v>
      </c>
      <c r="Q56" s="24" t="str">
        <f t="shared" si="1"/>
        <v>alaaa</v>
      </c>
      <c r="R56" s="101"/>
    </row>
    <row r="57" spans="1:18" ht="25.8" customHeight="1" x14ac:dyDescent="0.25">
      <c r="A57" s="21"/>
      <c r="B57" s="21"/>
      <c r="C57" s="21"/>
      <c r="D57" s="21"/>
      <c r="N57" s="105"/>
      <c r="O57" s="25">
        <f t="shared" si="0"/>
        <v>1</v>
      </c>
      <c r="P57" s="24" t="s">
        <v>78</v>
      </c>
      <c r="Q57" s="24" t="str">
        <f t="shared" si="1"/>
        <v>abdalrahman</v>
      </c>
      <c r="R57" s="101"/>
    </row>
    <row r="58" spans="1:18" ht="25.8" customHeight="1" x14ac:dyDescent="0.25">
      <c r="A58" s="21"/>
      <c r="B58" s="21"/>
      <c r="C58" s="21"/>
      <c r="D58" s="21"/>
      <c r="N58" s="105"/>
      <c r="O58" s="25">
        <f t="shared" si="0"/>
        <v>1</v>
      </c>
      <c r="P58" s="24" t="s">
        <v>77</v>
      </c>
      <c r="Q58" s="24" t="str">
        <f t="shared" si="1"/>
        <v>zahraan</v>
      </c>
      <c r="R58" s="101"/>
    </row>
    <row r="59" spans="1:18" ht="25.8" customHeight="1" x14ac:dyDescent="0.25">
      <c r="A59" s="21"/>
      <c r="B59" s="21"/>
      <c r="C59" s="21"/>
      <c r="D59" s="21"/>
      <c r="N59" s="105"/>
      <c r="O59" s="25">
        <f t="shared" si="0"/>
        <v>1</v>
      </c>
      <c r="P59" s="24" t="s">
        <v>76</v>
      </c>
      <c r="Q59" s="24" t="str">
        <f t="shared" si="1"/>
        <v>alhussin</v>
      </c>
      <c r="R59" s="101"/>
    </row>
    <row r="60" spans="1:18" ht="25.8" customHeight="1" x14ac:dyDescent="0.25">
      <c r="A60" s="21"/>
      <c r="B60" s="21"/>
      <c r="C60" s="21"/>
      <c r="D60" s="21"/>
      <c r="N60" s="105"/>
      <c r="O60" s="25">
        <f t="shared" si="0"/>
        <v>1</v>
      </c>
      <c r="P60" s="24" t="s">
        <v>75</v>
      </c>
      <c r="Q60" s="24" t="str">
        <f t="shared" si="1"/>
        <v>alaaa</v>
      </c>
      <c r="R60" s="101"/>
    </row>
    <row r="61" spans="1:18" ht="25.8" customHeight="1" x14ac:dyDescent="0.25">
      <c r="A61" s="21"/>
      <c r="B61" s="21"/>
      <c r="C61" s="21"/>
      <c r="D61" s="21"/>
      <c r="N61" s="105"/>
      <c r="O61" s="25">
        <f t="shared" si="0"/>
        <v>1</v>
      </c>
      <c r="P61" s="24" t="s">
        <v>74</v>
      </c>
      <c r="Q61" s="24" t="str">
        <f t="shared" si="1"/>
        <v>abdalrahman</v>
      </c>
      <c r="R61" s="107"/>
    </row>
    <row r="62" spans="1:18" ht="25.8" customHeight="1" x14ac:dyDescent="0.25">
      <c r="A62" s="21"/>
      <c r="B62" s="21"/>
      <c r="C62" s="21"/>
      <c r="D62" s="21"/>
      <c r="N62" s="104">
        <v>5</v>
      </c>
      <c r="O62" s="25">
        <f t="shared" si="0"/>
        <v>2</v>
      </c>
      <c r="P62" s="24" t="s">
        <v>73</v>
      </c>
      <c r="Q62" s="24" t="str">
        <f t="shared" si="1"/>
        <v>alhussin</v>
      </c>
      <c r="R62" s="106">
        <f>SUM(O62:O66)</f>
        <v>12</v>
      </c>
    </row>
    <row r="63" spans="1:18" ht="25.8" customHeight="1" x14ac:dyDescent="0.25">
      <c r="A63" s="21"/>
      <c r="B63" s="21"/>
      <c r="C63" s="21"/>
      <c r="D63" s="21"/>
      <c r="N63" s="105"/>
      <c r="O63" s="25">
        <f t="shared" si="0"/>
        <v>2</v>
      </c>
      <c r="P63" s="24" t="s">
        <v>72</v>
      </c>
      <c r="Q63" s="24" t="str">
        <f t="shared" si="1"/>
        <v>abdalrahman</v>
      </c>
      <c r="R63" s="105"/>
    </row>
    <row r="64" spans="1:18" ht="25.8" customHeight="1" x14ac:dyDescent="0.25">
      <c r="A64" s="21"/>
      <c r="B64" s="21"/>
      <c r="C64" s="21"/>
      <c r="D64" s="21"/>
      <c r="N64" s="105"/>
      <c r="O64" s="25">
        <f t="shared" si="0"/>
        <v>2</v>
      </c>
      <c r="P64" s="24" t="s">
        <v>71</v>
      </c>
      <c r="Q64" s="24" t="str">
        <f t="shared" si="1"/>
        <v>zahraan</v>
      </c>
      <c r="R64" s="105"/>
    </row>
    <row r="65" spans="1:18" ht="25.8" customHeight="1" x14ac:dyDescent="0.25">
      <c r="A65" s="21"/>
      <c r="B65" s="21"/>
      <c r="C65" s="21"/>
      <c r="D65" s="21"/>
      <c r="N65" s="105"/>
      <c r="O65" s="25">
        <f t="shared" si="0"/>
        <v>2</v>
      </c>
      <c r="P65" s="24" t="s">
        <v>70</v>
      </c>
      <c r="Q65" s="24" t="str">
        <f t="shared" si="1"/>
        <v>alaaa</v>
      </c>
      <c r="R65" s="105"/>
    </row>
    <row r="66" spans="1:18" ht="25.8" customHeight="1" x14ac:dyDescent="0.25">
      <c r="A66" s="21"/>
      <c r="B66" s="21"/>
      <c r="C66" s="21"/>
      <c r="D66" s="21"/>
      <c r="N66" s="108"/>
      <c r="O66" s="25">
        <f t="shared" si="0"/>
        <v>4</v>
      </c>
      <c r="P66" s="24" t="s">
        <v>69</v>
      </c>
      <c r="Q66" s="24" t="str">
        <f t="shared" si="1"/>
        <v>nabil</v>
      </c>
      <c r="R66" s="108"/>
    </row>
    <row r="67" spans="1:18" ht="25.8" customHeight="1" x14ac:dyDescent="0.25">
      <c r="A67" s="21"/>
      <c r="B67" s="21"/>
      <c r="C67" s="21"/>
      <c r="D67" s="21"/>
      <c r="N67" s="104">
        <v>6</v>
      </c>
      <c r="O67" s="25">
        <f t="shared" si="0"/>
        <v>2</v>
      </c>
      <c r="P67" s="24" t="s">
        <v>68</v>
      </c>
      <c r="Q67" s="24" t="str">
        <f t="shared" si="1"/>
        <v>alhussin</v>
      </c>
      <c r="R67" s="106">
        <f>SUM(O67:O71)</f>
        <v>12</v>
      </c>
    </row>
    <row r="68" spans="1:18" ht="25.8" customHeight="1" x14ac:dyDescent="0.25">
      <c r="A68" s="21"/>
      <c r="B68" s="21"/>
      <c r="C68" s="21"/>
      <c r="D68" s="21"/>
      <c r="N68" s="105"/>
      <c r="O68" s="25">
        <f t="shared" si="0"/>
        <v>2</v>
      </c>
      <c r="P68" s="24" t="s">
        <v>67</v>
      </c>
      <c r="Q68" s="24" t="str">
        <f t="shared" si="1"/>
        <v>abdalrahman</v>
      </c>
      <c r="R68" s="105"/>
    </row>
    <row r="69" spans="1:18" ht="25.8" customHeight="1" x14ac:dyDescent="0.25">
      <c r="A69" s="21"/>
      <c r="B69" s="21"/>
      <c r="C69" s="21"/>
      <c r="D69" s="21"/>
      <c r="N69" s="105"/>
      <c r="O69" s="25">
        <f t="shared" si="0"/>
        <v>2</v>
      </c>
      <c r="P69" s="24" t="s">
        <v>66</v>
      </c>
      <c r="Q69" s="24" t="str">
        <f t="shared" si="1"/>
        <v>alaaa</v>
      </c>
      <c r="R69" s="105"/>
    </row>
    <row r="70" spans="1:18" ht="25.8" customHeight="1" x14ac:dyDescent="0.25">
      <c r="A70" s="21"/>
      <c r="B70" s="21"/>
      <c r="C70" s="21"/>
      <c r="D70" s="21"/>
      <c r="N70" s="105"/>
      <c r="O70" s="25">
        <f t="shared" si="0"/>
        <v>2</v>
      </c>
      <c r="P70" s="24" t="s">
        <v>65</v>
      </c>
      <c r="Q70" s="24" t="str">
        <f t="shared" si="1"/>
        <v>zahraan</v>
      </c>
      <c r="R70" s="105"/>
    </row>
    <row r="71" spans="1:18" ht="25.8" customHeight="1" x14ac:dyDescent="0.25">
      <c r="A71" s="21"/>
      <c r="B71" s="21"/>
      <c r="C71" s="21"/>
      <c r="D71" s="21"/>
      <c r="N71" s="108"/>
      <c r="O71" s="25">
        <f t="shared" si="0"/>
        <v>4</v>
      </c>
      <c r="P71" s="24" t="s">
        <v>64</v>
      </c>
      <c r="Q71" s="24" t="str">
        <f t="shared" si="1"/>
        <v>nabil</v>
      </c>
      <c r="R71" s="108"/>
    </row>
    <row r="72" spans="1:18" ht="25.8" customHeight="1" x14ac:dyDescent="0.25">
      <c r="A72" s="21"/>
      <c r="B72" s="21"/>
      <c r="C72" s="21"/>
      <c r="D72" s="21"/>
      <c r="P72" s="24"/>
      <c r="Q72" s="23" t="s">
        <v>63</v>
      </c>
      <c r="R72" s="22">
        <f>SUM(R43:R71)</f>
        <v>70</v>
      </c>
    </row>
    <row r="73" spans="1:18" ht="25.8" customHeight="1" x14ac:dyDescent="0.25">
      <c r="A73" s="21"/>
      <c r="B73" s="21"/>
      <c r="C73" s="21"/>
      <c r="D73" s="21"/>
    </row>
    <row r="74" spans="1:18" ht="25.8" customHeight="1" x14ac:dyDescent="0.25">
      <c r="A74" s="21"/>
      <c r="B74" s="21"/>
      <c r="C74" s="21"/>
      <c r="D74" s="21"/>
    </row>
    <row r="75" spans="1:18" ht="25.8" customHeight="1" x14ac:dyDescent="0.25">
      <c r="A75" s="21"/>
      <c r="B75" s="21"/>
      <c r="C75" s="21"/>
      <c r="D75" s="21"/>
    </row>
    <row r="76" spans="1:18" ht="25.8" customHeight="1" x14ac:dyDescent="0.25">
      <c r="A76" s="21"/>
      <c r="B76" s="21"/>
      <c r="C76" s="21"/>
      <c r="D76" s="21"/>
    </row>
    <row r="77" spans="1:18" ht="25.8" customHeight="1" x14ac:dyDescent="0.25">
      <c r="A77" s="21"/>
      <c r="B77" s="21"/>
      <c r="C77" s="21"/>
      <c r="D77" s="21"/>
    </row>
    <row r="78" spans="1:18" ht="25.8" customHeight="1" x14ac:dyDescent="0.25">
      <c r="A78" s="21"/>
      <c r="B78" s="21"/>
      <c r="C78" s="21"/>
      <c r="D78" s="21"/>
    </row>
    <row r="79" spans="1:18" ht="25.8" customHeight="1" x14ac:dyDescent="0.25">
      <c r="A79" s="21"/>
      <c r="B79" s="21"/>
      <c r="C79" s="21"/>
      <c r="D79" s="21"/>
    </row>
    <row r="80" spans="1:18" ht="25.8" customHeight="1" x14ac:dyDescent="0.25">
      <c r="A80" s="21"/>
      <c r="B80" s="21"/>
      <c r="C80" s="21"/>
      <c r="D80" s="21"/>
    </row>
    <row r="81" spans="1:4" ht="25.8" customHeight="1" x14ac:dyDescent="0.25">
      <c r="A81" s="21"/>
      <c r="B81" s="21"/>
      <c r="C81" s="21"/>
      <c r="D81" s="21"/>
    </row>
    <row r="82" spans="1:4" ht="25.8" customHeight="1" x14ac:dyDescent="0.25">
      <c r="A82" s="21"/>
      <c r="B82" s="21"/>
      <c r="C82" s="21"/>
      <c r="D82" s="21"/>
    </row>
    <row r="83" spans="1:4" ht="25.8" customHeight="1" x14ac:dyDescent="0.25">
      <c r="A83" s="21"/>
      <c r="B83" s="21"/>
      <c r="C83" s="21"/>
      <c r="D83" s="21"/>
    </row>
    <row r="84" spans="1:4" ht="25.8" customHeight="1" x14ac:dyDescent="0.25">
      <c r="A84" s="21"/>
      <c r="B84" s="21"/>
      <c r="C84" s="21"/>
      <c r="D84" s="21"/>
    </row>
    <row r="85" spans="1:4" ht="25.8" customHeight="1" x14ac:dyDescent="0.25">
      <c r="A85" s="21"/>
      <c r="B85" s="21"/>
      <c r="C85" s="21"/>
      <c r="D85" s="21"/>
    </row>
    <row r="86" spans="1:4" ht="25.8" customHeight="1" x14ac:dyDescent="0.25">
      <c r="A86" s="21"/>
      <c r="B86" s="21"/>
      <c r="C86" s="21"/>
      <c r="D86" s="21"/>
    </row>
    <row r="87" spans="1:4" ht="25.8" customHeight="1" x14ac:dyDescent="0.25">
      <c r="A87" s="21"/>
      <c r="B87" s="21"/>
      <c r="C87" s="21"/>
      <c r="D87" s="21"/>
    </row>
    <row r="88" spans="1:4" ht="25.8" customHeight="1" x14ac:dyDescent="0.25">
      <c r="A88" s="21"/>
      <c r="B88" s="21"/>
      <c r="C88" s="21"/>
      <c r="D88" s="21"/>
    </row>
    <row r="89" spans="1:4" ht="25.8" customHeight="1" x14ac:dyDescent="0.25">
      <c r="A89" s="21"/>
      <c r="B89" s="21"/>
      <c r="C89" s="21"/>
      <c r="D89" s="21"/>
    </row>
    <row r="90" spans="1:4" ht="25.8" customHeight="1" x14ac:dyDescent="0.25">
      <c r="A90" s="21"/>
      <c r="B90" s="21"/>
      <c r="C90" s="21"/>
      <c r="D90" s="21"/>
    </row>
    <row r="91" spans="1:4" ht="25.8" customHeight="1" x14ac:dyDescent="0.25">
      <c r="A91" s="21"/>
      <c r="B91" s="21"/>
      <c r="C91" s="21"/>
      <c r="D91" s="21"/>
    </row>
    <row r="92" spans="1:4" ht="25.8" customHeight="1" x14ac:dyDescent="0.25">
      <c r="A92" s="21"/>
      <c r="B92" s="21"/>
      <c r="C92" s="21"/>
      <c r="D92" s="21"/>
    </row>
    <row r="93" spans="1:4" ht="25.8" customHeight="1" x14ac:dyDescent="0.25">
      <c r="A93" s="21"/>
      <c r="B93" s="21"/>
      <c r="C93" s="21"/>
      <c r="D93" s="21"/>
    </row>
    <row r="94" spans="1:4" ht="25.8" customHeight="1" x14ac:dyDescent="0.25">
      <c r="A94" s="21"/>
      <c r="B94" s="21"/>
      <c r="C94" s="21"/>
      <c r="D94" s="21"/>
    </row>
    <row r="95" spans="1:4" ht="25.8" customHeight="1" x14ac:dyDescent="0.25">
      <c r="A95" s="21"/>
      <c r="B95" s="21"/>
      <c r="C95" s="21"/>
      <c r="D95" s="21"/>
    </row>
    <row r="96" spans="1:4" ht="25.8" customHeight="1" x14ac:dyDescent="0.25">
      <c r="A96" s="21"/>
      <c r="B96" s="21"/>
      <c r="C96" s="21"/>
      <c r="D96" s="21"/>
    </row>
    <row r="97" spans="1:4" ht="25.8" customHeight="1" x14ac:dyDescent="0.25">
      <c r="A97" s="21"/>
      <c r="B97" s="21"/>
      <c r="C97" s="21"/>
      <c r="D97" s="21"/>
    </row>
    <row r="98" spans="1:4" ht="25.8" customHeight="1" x14ac:dyDescent="0.25">
      <c r="A98" s="21"/>
      <c r="B98" s="21"/>
      <c r="C98" s="21"/>
      <c r="D98" s="21"/>
    </row>
    <row r="99" spans="1:4" ht="25.8" customHeight="1" x14ac:dyDescent="0.25">
      <c r="A99" s="21"/>
      <c r="B99" s="21"/>
      <c r="C99" s="21"/>
      <c r="D99" s="21"/>
    </row>
    <row r="100" spans="1:4" ht="25.8" customHeight="1" x14ac:dyDescent="0.25">
      <c r="A100" s="21"/>
      <c r="B100" s="21"/>
      <c r="C100" s="21"/>
      <c r="D100" s="21"/>
    </row>
    <row r="101" spans="1:4" ht="25.8" customHeight="1" x14ac:dyDescent="0.25">
      <c r="A101" s="21"/>
      <c r="B101" s="21"/>
      <c r="C101" s="21"/>
      <c r="D101" s="21"/>
    </row>
    <row r="102" spans="1:4" ht="25.8" customHeight="1" x14ac:dyDescent="0.25">
      <c r="A102" s="21"/>
      <c r="B102" s="21"/>
      <c r="C102" s="21"/>
      <c r="D102" s="21"/>
    </row>
    <row r="103" spans="1:4" ht="25.8" customHeight="1" x14ac:dyDescent="0.25">
      <c r="A103" s="21"/>
      <c r="B103" s="21"/>
      <c r="C103" s="21"/>
      <c r="D103" s="21"/>
    </row>
    <row r="104" spans="1:4" ht="25.8" customHeight="1" x14ac:dyDescent="0.25">
      <c r="A104" s="21"/>
      <c r="B104" s="21"/>
      <c r="C104" s="21"/>
      <c r="D104" s="21"/>
    </row>
    <row r="105" spans="1:4" ht="25.8" customHeight="1" x14ac:dyDescent="0.25">
      <c r="A105" s="21"/>
      <c r="B105" s="21"/>
      <c r="C105" s="21"/>
      <c r="D105" s="21"/>
    </row>
    <row r="106" spans="1:4" ht="25.8" customHeight="1" x14ac:dyDescent="0.25">
      <c r="A106" s="21"/>
      <c r="B106" s="21"/>
      <c r="C106" s="21"/>
      <c r="D106" s="21"/>
    </row>
    <row r="107" spans="1:4" ht="25.8" customHeight="1" x14ac:dyDescent="0.25">
      <c r="A107" s="21"/>
      <c r="B107" s="21"/>
      <c r="C107" s="21"/>
      <c r="D107" s="21"/>
    </row>
    <row r="108" spans="1:4" ht="25.8" customHeight="1" x14ac:dyDescent="0.25">
      <c r="A108" s="21"/>
      <c r="B108" s="21"/>
      <c r="C108" s="21"/>
      <c r="D108" s="21"/>
    </row>
    <row r="109" spans="1:4" ht="25.8" customHeight="1" x14ac:dyDescent="0.25">
      <c r="A109" s="21"/>
      <c r="B109" s="21"/>
      <c r="C109" s="21"/>
      <c r="D109" s="21"/>
    </row>
    <row r="110" spans="1:4" ht="25.8" customHeight="1" x14ac:dyDescent="0.25">
      <c r="A110" s="21"/>
      <c r="B110" s="21"/>
      <c r="C110" s="21"/>
      <c r="D110" s="21"/>
    </row>
    <row r="111" spans="1:4" ht="25.8" customHeight="1" x14ac:dyDescent="0.25">
      <c r="A111" s="21"/>
      <c r="B111" s="21"/>
      <c r="C111" s="21"/>
      <c r="D111" s="21"/>
    </row>
    <row r="112" spans="1:4" ht="25.8" customHeight="1" x14ac:dyDescent="0.25">
      <c r="A112" s="21"/>
      <c r="B112" s="21"/>
      <c r="C112" s="21"/>
      <c r="D112" s="21"/>
    </row>
    <row r="113" spans="1:4" ht="25.8" customHeight="1" x14ac:dyDescent="0.25">
      <c r="A113" s="21"/>
      <c r="B113" s="21"/>
      <c r="C113" s="21"/>
      <c r="D113" s="21"/>
    </row>
    <row r="114" spans="1:4" ht="25.8" customHeight="1" x14ac:dyDescent="0.25">
      <c r="A114" s="21"/>
      <c r="B114" s="21"/>
      <c r="C114" s="21"/>
      <c r="D114" s="21"/>
    </row>
    <row r="115" spans="1:4" ht="25.8" customHeight="1" x14ac:dyDescent="0.25">
      <c r="A115" s="21"/>
      <c r="B115" s="21"/>
      <c r="C115" s="21"/>
      <c r="D115" s="21"/>
    </row>
    <row r="116" spans="1:4" ht="25.8" customHeight="1" x14ac:dyDescent="0.25">
      <c r="A116" s="21"/>
      <c r="B116" s="21"/>
      <c r="C116" s="21"/>
      <c r="D116" s="21"/>
    </row>
    <row r="117" spans="1:4" ht="25.8" customHeight="1" x14ac:dyDescent="0.25">
      <c r="A117" s="21"/>
      <c r="B117" s="21"/>
      <c r="C117" s="21"/>
      <c r="D117" s="21"/>
    </row>
    <row r="118" spans="1:4" ht="25.8" customHeight="1" x14ac:dyDescent="0.25">
      <c r="A118" s="21"/>
      <c r="B118" s="21"/>
      <c r="C118" s="21"/>
      <c r="D118" s="21"/>
    </row>
    <row r="119" spans="1:4" ht="25.8" customHeight="1" x14ac:dyDescent="0.25">
      <c r="A119" s="21"/>
      <c r="B119" s="21"/>
      <c r="C119" s="21"/>
      <c r="D119" s="21"/>
    </row>
    <row r="120" spans="1:4" ht="25.8" customHeight="1" x14ac:dyDescent="0.25">
      <c r="A120" s="21"/>
      <c r="B120" s="21"/>
      <c r="C120" s="21"/>
      <c r="D120" s="21"/>
    </row>
    <row r="121" spans="1:4" ht="25.8" customHeight="1" x14ac:dyDescent="0.25">
      <c r="A121" s="21"/>
      <c r="B121" s="21"/>
      <c r="C121" s="21"/>
      <c r="D121" s="21"/>
    </row>
    <row r="122" spans="1:4" ht="25.8" customHeight="1" x14ac:dyDescent="0.25">
      <c r="A122" s="21"/>
      <c r="B122" s="21"/>
      <c r="C122" s="21"/>
      <c r="D122" s="21"/>
    </row>
    <row r="123" spans="1:4" ht="25.8" customHeight="1" x14ac:dyDescent="0.25">
      <c r="A123" s="21"/>
      <c r="B123" s="21"/>
      <c r="C123" s="21"/>
      <c r="D123" s="21"/>
    </row>
    <row r="124" spans="1:4" ht="25.8" customHeight="1" x14ac:dyDescent="0.25">
      <c r="A124" s="21"/>
      <c r="B124" s="21"/>
      <c r="C124" s="21"/>
      <c r="D124" s="21"/>
    </row>
    <row r="125" spans="1:4" ht="25.8" customHeight="1" x14ac:dyDescent="0.25">
      <c r="A125" s="21"/>
      <c r="B125" s="21"/>
      <c r="C125" s="21"/>
      <c r="D125" s="21"/>
    </row>
    <row r="126" spans="1:4" ht="25.8" customHeight="1" x14ac:dyDescent="0.25">
      <c r="A126" s="21"/>
      <c r="B126" s="21"/>
      <c r="C126" s="21"/>
      <c r="D126" s="21"/>
    </row>
    <row r="127" spans="1:4" ht="25.8" customHeight="1" x14ac:dyDescent="0.25">
      <c r="A127" s="21"/>
      <c r="B127" s="21"/>
      <c r="C127" s="21"/>
      <c r="D127" s="21"/>
    </row>
    <row r="128" spans="1:4" ht="25.8" customHeight="1" x14ac:dyDescent="0.25">
      <c r="A128" s="21"/>
      <c r="B128" s="21"/>
      <c r="C128" s="21"/>
      <c r="D128" s="21"/>
    </row>
    <row r="129" spans="1:4" ht="25.8" customHeight="1" x14ac:dyDescent="0.25">
      <c r="A129" s="21"/>
      <c r="B129" s="21"/>
      <c r="C129" s="21"/>
      <c r="D129" s="21"/>
    </row>
    <row r="130" spans="1:4" ht="25.8" customHeight="1" x14ac:dyDescent="0.25">
      <c r="A130" s="21"/>
      <c r="B130" s="21"/>
      <c r="C130" s="21"/>
      <c r="D130" s="21"/>
    </row>
    <row r="131" spans="1:4" ht="25.8" customHeight="1" x14ac:dyDescent="0.25">
      <c r="A131" s="21"/>
      <c r="B131" s="21"/>
      <c r="C131" s="21"/>
      <c r="D131" s="21"/>
    </row>
    <row r="132" spans="1:4" ht="25.8" customHeight="1" x14ac:dyDescent="0.25">
      <c r="A132" s="21"/>
      <c r="B132" s="21"/>
      <c r="C132" s="21"/>
      <c r="D132" s="21"/>
    </row>
    <row r="133" spans="1:4" ht="25.8" customHeight="1" x14ac:dyDescent="0.25">
      <c r="A133" s="21"/>
      <c r="B133" s="21"/>
      <c r="C133" s="21"/>
      <c r="D133" s="21"/>
    </row>
    <row r="134" spans="1:4" ht="25.8" customHeight="1" x14ac:dyDescent="0.25">
      <c r="A134" s="21"/>
      <c r="B134" s="21"/>
      <c r="C134" s="21"/>
      <c r="D134" s="21"/>
    </row>
    <row r="135" spans="1:4" ht="25.8" customHeight="1" x14ac:dyDescent="0.25">
      <c r="A135" s="21"/>
      <c r="B135" s="21"/>
      <c r="C135" s="21"/>
      <c r="D135" s="21"/>
    </row>
    <row r="136" spans="1:4" ht="25.8" customHeight="1" x14ac:dyDescent="0.25">
      <c r="A136" s="21"/>
      <c r="B136" s="21"/>
      <c r="C136" s="21"/>
      <c r="D136" s="21"/>
    </row>
    <row r="137" spans="1:4" ht="25.8" customHeight="1" x14ac:dyDescent="0.25">
      <c r="A137" s="21"/>
      <c r="B137" s="21"/>
      <c r="C137" s="21"/>
      <c r="D137" s="21"/>
    </row>
    <row r="138" spans="1:4" ht="25.8" customHeight="1" x14ac:dyDescent="0.25">
      <c r="A138" s="21"/>
      <c r="B138" s="21"/>
      <c r="C138" s="21"/>
      <c r="D138" s="21"/>
    </row>
    <row r="139" spans="1:4" ht="25.8" customHeight="1" x14ac:dyDescent="0.25">
      <c r="A139" s="21"/>
      <c r="B139" s="21"/>
      <c r="C139" s="21"/>
      <c r="D139" s="21"/>
    </row>
    <row r="140" spans="1:4" ht="25.8" customHeight="1" x14ac:dyDescent="0.25">
      <c r="A140" s="21"/>
      <c r="B140" s="21"/>
      <c r="C140" s="21"/>
      <c r="D140" s="21"/>
    </row>
    <row r="141" spans="1:4" ht="25.8" customHeight="1" x14ac:dyDescent="0.25">
      <c r="A141" s="21"/>
      <c r="B141" s="21"/>
      <c r="C141" s="21"/>
      <c r="D141" s="21"/>
    </row>
    <row r="142" spans="1:4" ht="25.8" customHeight="1" x14ac:dyDescent="0.25">
      <c r="A142" s="21"/>
      <c r="B142" s="21"/>
      <c r="C142" s="21"/>
      <c r="D142" s="21"/>
    </row>
    <row r="143" spans="1:4" ht="25.8" customHeight="1" x14ac:dyDescent="0.25">
      <c r="A143" s="21"/>
      <c r="B143" s="21"/>
      <c r="C143" s="21"/>
      <c r="D143" s="21"/>
    </row>
    <row r="144" spans="1:4" ht="25.8" customHeight="1" x14ac:dyDescent="0.25">
      <c r="A144" s="21"/>
      <c r="B144" s="21"/>
      <c r="C144" s="21"/>
      <c r="D144" s="21"/>
    </row>
    <row r="145" spans="1:4" ht="25.8" customHeight="1" x14ac:dyDescent="0.25">
      <c r="A145" s="21"/>
      <c r="B145" s="21"/>
      <c r="C145" s="21"/>
      <c r="D145" s="21"/>
    </row>
    <row r="146" spans="1:4" ht="25.8" customHeight="1" x14ac:dyDescent="0.25">
      <c r="A146" s="21"/>
      <c r="B146" s="21"/>
      <c r="C146" s="21"/>
      <c r="D146" s="21"/>
    </row>
    <row r="147" spans="1:4" ht="25.8" customHeight="1" x14ac:dyDescent="0.25">
      <c r="A147" s="21"/>
      <c r="B147" s="21"/>
      <c r="C147" s="21"/>
      <c r="D147" s="21"/>
    </row>
    <row r="148" spans="1:4" ht="25.8" customHeight="1" x14ac:dyDescent="0.25">
      <c r="A148" s="21"/>
      <c r="B148" s="21"/>
      <c r="C148" s="21"/>
      <c r="D148" s="21"/>
    </row>
    <row r="149" spans="1:4" ht="25.8" customHeight="1" x14ac:dyDescent="0.25">
      <c r="A149" s="21"/>
      <c r="B149" s="21"/>
      <c r="C149" s="21"/>
      <c r="D149" s="21"/>
    </row>
    <row r="150" spans="1:4" ht="25.8" customHeight="1" x14ac:dyDescent="0.25">
      <c r="A150" s="21"/>
      <c r="B150" s="21"/>
      <c r="C150" s="21"/>
      <c r="D150" s="21"/>
    </row>
    <row r="151" spans="1:4" ht="25.8" customHeight="1" x14ac:dyDescent="0.25">
      <c r="A151" s="21"/>
      <c r="B151" s="21"/>
      <c r="C151" s="21"/>
      <c r="D151" s="21"/>
    </row>
    <row r="152" spans="1:4" ht="25.8" customHeight="1" x14ac:dyDescent="0.25">
      <c r="A152" s="21"/>
      <c r="B152" s="21"/>
      <c r="C152" s="21"/>
      <c r="D152" s="21"/>
    </row>
    <row r="153" spans="1:4" ht="25.8" customHeight="1" x14ac:dyDescent="0.25">
      <c r="A153" s="21"/>
      <c r="B153" s="21"/>
      <c r="C153" s="21"/>
      <c r="D153" s="21"/>
    </row>
    <row r="154" spans="1:4" ht="25.8" customHeight="1" x14ac:dyDescent="0.25">
      <c r="A154" s="21"/>
      <c r="B154" s="21"/>
      <c r="C154" s="21"/>
      <c r="D154" s="21"/>
    </row>
    <row r="155" spans="1:4" ht="25.8" customHeight="1" x14ac:dyDescent="0.25">
      <c r="A155" s="21"/>
      <c r="B155" s="21"/>
      <c r="C155" s="21"/>
      <c r="D155" s="21"/>
    </row>
    <row r="156" spans="1:4" ht="25.8" customHeight="1" x14ac:dyDescent="0.25">
      <c r="A156" s="21"/>
      <c r="B156" s="21"/>
      <c r="C156" s="21"/>
      <c r="D156" s="21"/>
    </row>
    <row r="157" spans="1:4" ht="25.8" customHeight="1" x14ac:dyDescent="0.25">
      <c r="A157" s="21"/>
      <c r="B157" s="21"/>
      <c r="C157" s="21"/>
      <c r="D157" s="21"/>
    </row>
    <row r="158" spans="1:4" ht="25.8" customHeight="1" x14ac:dyDescent="0.25">
      <c r="A158" s="21"/>
      <c r="B158" s="21"/>
      <c r="C158" s="21"/>
      <c r="D158" s="21"/>
    </row>
    <row r="159" spans="1:4" ht="25.8" customHeight="1" x14ac:dyDescent="0.25">
      <c r="A159" s="21"/>
      <c r="B159" s="21"/>
      <c r="C159" s="21"/>
      <c r="D159" s="21"/>
    </row>
    <row r="160" spans="1:4" ht="25.8" customHeight="1" x14ac:dyDescent="0.25">
      <c r="A160" s="21"/>
      <c r="B160" s="21"/>
      <c r="C160" s="21"/>
      <c r="D160" s="21"/>
    </row>
    <row r="161" spans="1:4" ht="25.8" customHeight="1" x14ac:dyDescent="0.25">
      <c r="A161" s="21"/>
      <c r="B161" s="21"/>
      <c r="C161" s="21"/>
      <c r="D161" s="21"/>
    </row>
    <row r="162" spans="1:4" ht="25.8" customHeight="1" x14ac:dyDescent="0.25">
      <c r="A162" s="21"/>
      <c r="B162" s="21"/>
      <c r="C162" s="21"/>
      <c r="D162" s="21"/>
    </row>
    <row r="163" spans="1:4" ht="25.8" customHeight="1" x14ac:dyDescent="0.25">
      <c r="A163" s="21"/>
      <c r="B163" s="21"/>
      <c r="C163" s="21"/>
      <c r="D163" s="21"/>
    </row>
    <row r="164" spans="1:4" ht="25.8" customHeight="1" x14ac:dyDescent="0.25">
      <c r="A164" s="21"/>
      <c r="B164" s="21"/>
      <c r="C164" s="21"/>
      <c r="D164" s="21"/>
    </row>
    <row r="165" spans="1:4" ht="25.8" customHeight="1" x14ac:dyDescent="0.25">
      <c r="A165" s="21"/>
      <c r="B165" s="21"/>
      <c r="C165" s="21"/>
      <c r="D165" s="21"/>
    </row>
    <row r="166" spans="1:4" ht="25.8" customHeight="1" x14ac:dyDescent="0.25">
      <c r="A166" s="21"/>
      <c r="B166" s="21"/>
      <c r="C166" s="21"/>
      <c r="D166" s="21"/>
    </row>
    <row r="167" spans="1:4" ht="25.8" customHeight="1" x14ac:dyDescent="0.25">
      <c r="A167" s="21"/>
      <c r="B167" s="21"/>
      <c r="C167" s="21"/>
      <c r="D167" s="21"/>
    </row>
    <row r="168" spans="1:4" ht="25.8" customHeight="1" x14ac:dyDescent="0.25">
      <c r="A168" s="21"/>
      <c r="B168" s="21"/>
      <c r="C168" s="21"/>
      <c r="D168" s="21"/>
    </row>
    <row r="169" spans="1:4" ht="25.8" customHeight="1" x14ac:dyDescent="0.25">
      <c r="A169" s="21"/>
      <c r="B169" s="21"/>
      <c r="C169" s="21"/>
      <c r="D169" s="21"/>
    </row>
    <row r="170" spans="1:4" ht="25.8" customHeight="1" x14ac:dyDescent="0.25">
      <c r="A170" s="21"/>
      <c r="B170" s="21"/>
      <c r="C170" s="21"/>
      <c r="D170" s="21"/>
    </row>
    <row r="171" spans="1:4" ht="25.8" customHeight="1" x14ac:dyDescent="0.25">
      <c r="A171" s="21"/>
      <c r="B171" s="21"/>
      <c r="C171" s="21"/>
      <c r="D171" s="21"/>
    </row>
    <row r="172" spans="1:4" ht="25.8" customHeight="1" x14ac:dyDescent="0.25">
      <c r="A172" s="21"/>
      <c r="B172" s="21"/>
      <c r="C172" s="21"/>
      <c r="D172" s="21"/>
    </row>
    <row r="173" spans="1:4" ht="25.8" customHeight="1" x14ac:dyDescent="0.25">
      <c r="A173" s="21"/>
      <c r="B173" s="21"/>
      <c r="C173" s="21"/>
      <c r="D173" s="21"/>
    </row>
    <row r="174" spans="1:4" ht="25.8" customHeight="1" x14ac:dyDescent="0.25">
      <c r="A174" s="21"/>
      <c r="B174" s="21"/>
      <c r="C174" s="21"/>
      <c r="D174" s="21"/>
    </row>
    <row r="175" spans="1:4" ht="25.8" customHeight="1" x14ac:dyDescent="0.25">
      <c r="A175" s="21"/>
      <c r="B175" s="21"/>
      <c r="C175" s="21"/>
      <c r="D175" s="21"/>
    </row>
    <row r="176" spans="1:4" ht="25.8" customHeight="1" x14ac:dyDescent="0.25">
      <c r="A176" s="21"/>
      <c r="B176" s="21"/>
      <c r="C176" s="21"/>
      <c r="D176" s="21"/>
    </row>
    <row r="177" spans="1:4" ht="25.8" customHeight="1" x14ac:dyDescent="0.25">
      <c r="A177" s="21"/>
      <c r="B177" s="21"/>
      <c r="C177" s="21"/>
      <c r="D177" s="21"/>
    </row>
    <row r="178" spans="1:4" ht="25.8" customHeight="1" x14ac:dyDescent="0.25">
      <c r="A178" s="21"/>
      <c r="B178" s="21"/>
      <c r="C178" s="21"/>
      <c r="D178" s="21"/>
    </row>
    <row r="179" spans="1:4" ht="25.8" customHeight="1" x14ac:dyDescent="0.25">
      <c r="A179" s="21"/>
      <c r="B179" s="21"/>
      <c r="C179" s="21"/>
      <c r="D179" s="21"/>
    </row>
    <row r="180" spans="1:4" ht="25.8" customHeight="1" x14ac:dyDescent="0.25">
      <c r="A180" s="21"/>
      <c r="B180" s="21"/>
      <c r="C180" s="21"/>
      <c r="D180" s="21"/>
    </row>
    <row r="181" spans="1:4" ht="25.8" customHeight="1" x14ac:dyDescent="0.25">
      <c r="A181" s="21"/>
      <c r="B181" s="21"/>
      <c r="C181" s="21"/>
      <c r="D181" s="21"/>
    </row>
    <row r="182" spans="1:4" ht="25.8" customHeight="1" x14ac:dyDescent="0.25">
      <c r="A182" s="21"/>
      <c r="B182" s="21"/>
      <c r="C182" s="21"/>
      <c r="D182" s="21"/>
    </row>
    <row r="183" spans="1:4" ht="25.8" customHeight="1" x14ac:dyDescent="0.25">
      <c r="A183" s="21"/>
      <c r="B183" s="21"/>
      <c r="C183" s="21"/>
      <c r="D183" s="21"/>
    </row>
    <row r="184" spans="1:4" ht="25.8" customHeight="1" x14ac:dyDescent="0.25">
      <c r="A184" s="21"/>
      <c r="B184" s="21"/>
      <c r="C184" s="21"/>
      <c r="D184" s="21"/>
    </row>
    <row r="185" spans="1:4" ht="25.8" customHeight="1" x14ac:dyDescent="0.25">
      <c r="A185" s="21"/>
      <c r="B185" s="21"/>
      <c r="C185" s="21"/>
      <c r="D185" s="21"/>
    </row>
    <row r="186" spans="1:4" ht="25.8" customHeight="1" x14ac:dyDescent="0.25">
      <c r="A186" s="21"/>
      <c r="B186" s="21"/>
      <c r="C186" s="21"/>
      <c r="D186" s="21"/>
    </row>
    <row r="187" spans="1:4" ht="25.8" customHeight="1" x14ac:dyDescent="0.25">
      <c r="A187" s="21"/>
      <c r="B187" s="21"/>
      <c r="C187" s="21"/>
      <c r="D187" s="21"/>
    </row>
    <row r="188" spans="1:4" ht="25.8" customHeight="1" x14ac:dyDescent="0.25">
      <c r="A188" s="21"/>
      <c r="B188" s="21"/>
      <c r="C188" s="21"/>
      <c r="D188" s="21"/>
    </row>
    <row r="189" spans="1:4" ht="25.8" customHeight="1" x14ac:dyDescent="0.25">
      <c r="A189" s="21"/>
      <c r="B189" s="21"/>
      <c r="C189" s="21"/>
      <c r="D189" s="21"/>
    </row>
    <row r="190" spans="1:4" ht="25.8" customHeight="1" x14ac:dyDescent="0.25">
      <c r="A190" s="21"/>
      <c r="B190" s="21"/>
      <c r="C190" s="21"/>
      <c r="D190" s="21"/>
    </row>
    <row r="191" spans="1:4" ht="25.8" customHeight="1" x14ac:dyDescent="0.25">
      <c r="A191" s="21"/>
      <c r="B191" s="21"/>
      <c r="C191" s="21"/>
      <c r="D191" s="21"/>
    </row>
    <row r="192" spans="1:4" ht="25.8" customHeight="1" x14ac:dyDescent="0.25">
      <c r="A192" s="21"/>
      <c r="B192" s="21"/>
      <c r="C192" s="21"/>
      <c r="D192" s="21"/>
    </row>
    <row r="193" spans="1:4" ht="25.8" customHeight="1" x14ac:dyDescent="0.25">
      <c r="A193" s="21"/>
      <c r="B193" s="21"/>
      <c r="C193" s="21"/>
      <c r="D193" s="21"/>
    </row>
    <row r="194" spans="1:4" ht="25.8" customHeight="1" x14ac:dyDescent="0.25">
      <c r="A194" s="21"/>
      <c r="B194" s="21"/>
      <c r="C194" s="21"/>
      <c r="D194" s="21"/>
    </row>
    <row r="195" spans="1:4" ht="25.8" customHeight="1" x14ac:dyDescent="0.25">
      <c r="A195" s="21"/>
      <c r="B195" s="21"/>
      <c r="C195" s="21"/>
      <c r="D195" s="21"/>
    </row>
    <row r="196" spans="1:4" ht="25.8" customHeight="1" x14ac:dyDescent="0.25">
      <c r="A196" s="21"/>
      <c r="B196" s="21"/>
      <c r="C196" s="21"/>
      <c r="D196" s="21"/>
    </row>
    <row r="197" spans="1:4" ht="25.8" customHeight="1" x14ac:dyDescent="0.25">
      <c r="A197" s="21"/>
      <c r="B197" s="21"/>
      <c r="C197" s="21"/>
      <c r="D197" s="21"/>
    </row>
    <row r="198" spans="1:4" ht="25.8" customHeight="1" x14ac:dyDescent="0.25">
      <c r="A198" s="21"/>
      <c r="B198" s="21"/>
      <c r="C198" s="21"/>
      <c r="D198" s="21"/>
    </row>
    <row r="199" spans="1:4" ht="25.8" customHeight="1" x14ac:dyDescent="0.25">
      <c r="A199" s="21"/>
      <c r="B199" s="21"/>
      <c r="C199" s="21"/>
      <c r="D199" s="21"/>
    </row>
    <row r="200" spans="1:4" ht="25.8" customHeight="1" x14ac:dyDescent="0.25">
      <c r="A200" s="21"/>
      <c r="B200" s="21"/>
      <c r="C200" s="21"/>
      <c r="D200" s="21"/>
    </row>
    <row r="201" spans="1:4" ht="25.8" customHeight="1" x14ac:dyDescent="0.25">
      <c r="A201" s="21"/>
      <c r="B201" s="21"/>
      <c r="C201" s="21"/>
      <c r="D201" s="21"/>
    </row>
    <row r="202" spans="1:4" ht="25.8" customHeight="1" x14ac:dyDescent="0.25">
      <c r="A202" s="21"/>
      <c r="B202" s="21"/>
      <c r="C202" s="21"/>
      <c r="D202" s="21"/>
    </row>
    <row r="203" spans="1:4" ht="25.8" customHeight="1" x14ac:dyDescent="0.25">
      <c r="A203" s="21"/>
      <c r="B203" s="21"/>
      <c r="C203" s="21"/>
      <c r="D203" s="21"/>
    </row>
    <row r="204" spans="1:4" ht="25.8" customHeight="1" x14ac:dyDescent="0.25">
      <c r="A204" s="21"/>
      <c r="B204" s="21"/>
      <c r="C204" s="21"/>
      <c r="D204" s="21"/>
    </row>
    <row r="205" spans="1:4" ht="25.8" customHeight="1" x14ac:dyDescent="0.25">
      <c r="A205" s="21"/>
      <c r="B205" s="21"/>
      <c r="C205" s="21"/>
      <c r="D205" s="21"/>
    </row>
    <row r="206" spans="1:4" ht="25.8" customHeight="1" x14ac:dyDescent="0.25">
      <c r="A206" s="21"/>
      <c r="B206" s="21"/>
      <c r="C206" s="21"/>
      <c r="D206" s="21"/>
    </row>
    <row r="207" spans="1:4" ht="25.8" customHeight="1" x14ac:dyDescent="0.25">
      <c r="A207" s="21"/>
      <c r="B207" s="21"/>
      <c r="C207" s="21"/>
      <c r="D207" s="21"/>
    </row>
    <row r="208" spans="1:4" ht="25.8" customHeight="1" x14ac:dyDescent="0.25">
      <c r="A208" s="21"/>
      <c r="B208" s="21"/>
      <c r="C208" s="21"/>
      <c r="D208" s="21"/>
    </row>
    <row r="209" spans="1:4" ht="25.8" customHeight="1" x14ac:dyDescent="0.25">
      <c r="A209" s="21"/>
      <c r="B209" s="21"/>
      <c r="C209" s="21"/>
      <c r="D209" s="21"/>
    </row>
    <row r="210" spans="1:4" ht="25.8" customHeight="1" x14ac:dyDescent="0.25">
      <c r="A210" s="21"/>
      <c r="B210" s="21"/>
      <c r="C210" s="21"/>
      <c r="D210" s="21"/>
    </row>
    <row r="211" spans="1:4" ht="25.8" customHeight="1" x14ac:dyDescent="0.25">
      <c r="A211" s="21"/>
      <c r="B211" s="21"/>
      <c r="C211" s="21"/>
      <c r="D211" s="21"/>
    </row>
    <row r="212" spans="1:4" ht="25.8" customHeight="1" x14ac:dyDescent="0.25">
      <c r="A212" s="21"/>
      <c r="B212" s="21"/>
      <c r="C212" s="21"/>
      <c r="D212" s="21"/>
    </row>
    <row r="213" spans="1:4" ht="25.8" customHeight="1" x14ac:dyDescent="0.25">
      <c r="A213" s="21"/>
      <c r="B213" s="21"/>
      <c r="C213" s="21"/>
      <c r="D213" s="21"/>
    </row>
    <row r="214" spans="1:4" ht="25.8" customHeight="1" x14ac:dyDescent="0.25">
      <c r="A214" s="21"/>
      <c r="B214" s="21"/>
      <c r="C214" s="21"/>
      <c r="D214" s="21"/>
    </row>
    <row r="215" spans="1:4" ht="25.8" customHeight="1" x14ac:dyDescent="0.25">
      <c r="A215" s="21"/>
      <c r="B215" s="21"/>
      <c r="C215" s="21"/>
      <c r="D215" s="21"/>
    </row>
    <row r="216" spans="1:4" ht="25.8" customHeight="1" x14ac:dyDescent="0.25">
      <c r="A216" s="21"/>
      <c r="B216" s="21"/>
      <c r="C216" s="21"/>
      <c r="D216" s="21"/>
    </row>
    <row r="217" spans="1:4" ht="25.8" customHeight="1" x14ac:dyDescent="0.25">
      <c r="A217" s="21"/>
      <c r="B217" s="21"/>
      <c r="C217" s="21"/>
      <c r="D217" s="21"/>
    </row>
    <row r="218" spans="1:4" ht="25.8" customHeight="1" x14ac:dyDescent="0.25">
      <c r="A218" s="21"/>
      <c r="B218" s="21"/>
      <c r="C218" s="21"/>
      <c r="D218" s="21"/>
    </row>
    <row r="219" spans="1:4" ht="25.8" customHeight="1" x14ac:dyDescent="0.25">
      <c r="A219" s="21"/>
      <c r="B219" s="21"/>
      <c r="C219" s="21"/>
      <c r="D219" s="21"/>
    </row>
    <row r="220" spans="1:4" ht="25.8" customHeight="1" x14ac:dyDescent="0.25">
      <c r="A220" s="21"/>
      <c r="B220" s="21"/>
      <c r="C220" s="21"/>
      <c r="D220" s="21"/>
    </row>
    <row r="221" spans="1:4" ht="25.8" customHeight="1" x14ac:dyDescent="0.25">
      <c r="A221" s="21"/>
      <c r="B221" s="21"/>
      <c r="C221" s="21"/>
      <c r="D221" s="21"/>
    </row>
    <row r="222" spans="1:4" ht="25.8" customHeight="1" x14ac:dyDescent="0.25">
      <c r="A222" s="21"/>
      <c r="B222" s="21"/>
      <c r="C222" s="21"/>
      <c r="D222" s="21"/>
    </row>
    <row r="223" spans="1:4" ht="25.8" customHeight="1" x14ac:dyDescent="0.25">
      <c r="A223" s="21"/>
      <c r="B223" s="21"/>
      <c r="C223" s="21"/>
      <c r="D223" s="21"/>
    </row>
    <row r="224" spans="1:4" ht="25.8" customHeight="1" x14ac:dyDescent="0.25">
      <c r="A224" s="21"/>
      <c r="B224" s="21"/>
      <c r="C224" s="21"/>
      <c r="D224" s="21"/>
    </row>
    <row r="225" spans="1:4" ht="25.8" customHeight="1" x14ac:dyDescent="0.25">
      <c r="A225" s="21"/>
      <c r="B225" s="21"/>
      <c r="C225" s="21"/>
      <c r="D225" s="21"/>
    </row>
    <row r="226" spans="1:4" ht="25.8" customHeight="1" x14ac:dyDescent="0.25">
      <c r="A226" s="21"/>
      <c r="B226" s="21"/>
      <c r="C226" s="21"/>
      <c r="D226" s="21"/>
    </row>
    <row r="227" spans="1:4" ht="25.8" customHeight="1" x14ac:dyDescent="0.25">
      <c r="A227" s="21"/>
      <c r="B227" s="21"/>
      <c r="C227" s="21"/>
      <c r="D227" s="21"/>
    </row>
    <row r="228" spans="1:4" ht="25.8" customHeight="1" x14ac:dyDescent="0.25">
      <c r="A228" s="21"/>
      <c r="B228" s="21"/>
      <c r="C228" s="21"/>
      <c r="D228" s="21"/>
    </row>
    <row r="229" spans="1:4" ht="25.8" customHeight="1" x14ac:dyDescent="0.25">
      <c r="A229" s="21"/>
      <c r="B229" s="21"/>
      <c r="C229" s="21"/>
      <c r="D229" s="21"/>
    </row>
    <row r="230" spans="1:4" ht="25.8" customHeight="1" x14ac:dyDescent="0.25">
      <c r="A230" s="21"/>
      <c r="B230" s="21"/>
      <c r="C230" s="21"/>
      <c r="D230" s="21"/>
    </row>
    <row r="231" spans="1:4" ht="25.8" customHeight="1" x14ac:dyDescent="0.25">
      <c r="A231" s="21"/>
      <c r="B231" s="21"/>
      <c r="C231" s="21"/>
      <c r="D231" s="21"/>
    </row>
  </sheetData>
  <mergeCells count="12">
    <mergeCell ref="N54:N61"/>
    <mergeCell ref="R54:R61"/>
    <mergeCell ref="N62:N66"/>
    <mergeCell ref="R62:R66"/>
    <mergeCell ref="N67:N71"/>
    <mergeCell ref="R67:R71"/>
    <mergeCell ref="A12:G12"/>
    <mergeCell ref="A28:G28"/>
    <mergeCell ref="N43:N50"/>
    <mergeCell ref="R43:R50"/>
    <mergeCell ref="N51:N52"/>
    <mergeCell ref="R51:R52"/>
  </mergeCells>
  <dataValidations count="1">
    <dataValidation type="list" allowBlank="1" showErrorMessage="1" sqref="F14:F25 F30:F40" xr:uid="{AFC4AC33-7B9C-40BD-80E0-C1F9CEEBC5BF}">
      <formula1>"Avoid,Mitigate,Accept"</formula1>
    </dataValidation>
  </dataValidations>
  <pageMargins left="0.7" right="0.7" top="0.75" bottom="0.75" header="0" footer="0"/>
  <pageSetup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66615-9F0F-45E8-A7F9-2219CE4A1BDB}">
  <sheetPr>
    <outlinePr summaryBelow="0" summaryRight="0"/>
  </sheetPr>
  <dimension ref="A1:AB228"/>
  <sheetViews>
    <sheetView topLeftCell="E11" zoomScale="76" zoomScaleNormal="70" workbookViewId="0">
      <selection activeCell="H7" sqref="H7"/>
    </sheetView>
  </sheetViews>
  <sheetFormatPr defaultColWidth="12.6640625" defaultRowHeight="25.8" customHeight="1" x14ac:dyDescent="0.25"/>
  <cols>
    <col min="1" max="1" width="5.77734375" style="20" customWidth="1"/>
    <col min="2" max="2" width="18.5546875" style="20" customWidth="1"/>
    <col min="3" max="3" width="11.21875" style="20" customWidth="1"/>
    <col min="4" max="4" width="15.44140625" style="20" customWidth="1"/>
    <col min="5" max="5" width="73.44140625" style="20" customWidth="1"/>
    <col min="6" max="6" width="10" style="20" customWidth="1"/>
    <col min="7" max="7" width="60.77734375" style="20" customWidth="1"/>
    <col min="8" max="8" width="12.6640625" style="20"/>
    <col min="9" max="9" width="59.44140625" style="20" customWidth="1"/>
    <col min="10" max="10" width="12.6640625" style="20" customWidth="1"/>
    <col min="11" max="11" width="14.33203125" style="20" customWidth="1"/>
    <col min="12" max="13" width="12.6640625" style="20"/>
    <col min="14" max="14" width="16.109375" style="20" customWidth="1"/>
    <col min="15" max="15" width="8.33203125" style="20" customWidth="1"/>
    <col min="16" max="16" width="47.109375" style="20" customWidth="1"/>
    <col min="17" max="17" width="27" style="20" customWidth="1"/>
    <col min="18" max="18" width="23.5546875" style="20" customWidth="1"/>
    <col min="19" max="19" width="12.6640625" style="20"/>
    <col min="20" max="20" width="8.88671875" style="20" customWidth="1"/>
    <col min="21" max="21" width="12.6640625" style="20"/>
    <col min="22" max="22" width="64.44140625" style="20" customWidth="1"/>
    <col min="23" max="24" width="12.6640625" style="20"/>
    <col min="25" max="25" width="75" style="20" customWidth="1"/>
    <col min="26" max="16384" width="12.6640625" style="20"/>
  </cols>
  <sheetData>
    <row r="1" spans="1:28" ht="25.8" customHeight="1" x14ac:dyDescent="0.25">
      <c r="A1" s="75" t="s">
        <v>0</v>
      </c>
      <c r="B1" s="75" t="s">
        <v>1</v>
      </c>
      <c r="C1" s="75" t="s">
        <v>2</v>
      </c>
      <c r="D1" s="75" t="s">
        <v>3</v>
      </c>
      <c r="I1" s="76" t="s">
        <v>4</v>
      </c>
      <c r="J1" s="75" t="s">
        <v>5</v>
      </c>
      <c r="K1" s="76" t="s">
        <v>6</v>
      </c>
      <c r="L1" s="75" t="s">
        <v>111</v>
      </c>
      <c r="M1" s="75" t="s">
        <v>110</v>
      </c>
    </row>
    <row r="2" spans="1:28" ht="25.8" customHeight="1" x14ac:dyDescent="0.25">
      <c r="A2" s="66">
        <v>1</v>
      </c>
      <c r="B2" s="74">
        <v>15</v>
      </c>
      <c r="C2" s="57">
        <v>15</v>
      </c>
      <c r="D2" s="73">
        <v>50</v>
      </c>
      <c r="I2" s="35" t="s">
        <v>92</v>
      </c>
      <c r="J2" s="43">
        <v>1</v>
      </c>
      <c r="K2" s="33" t="s">
        <v>97</v>
      </c>
      <c r="L2" s="72">
        <v>3</v>
      </c>
      <c r="M2" s="71">
        <v>3</v>
      </c>
    </row>
    <row r="3" spans="1:28" ht="25.8" customHeight="1" x14ac:dyDescent="0.25">
      <c r="A3" s="66">
        <v>2</v>
      </c>
      <c r="B3" s="74">
        <v>15</v>
      </c>
      <c r="C3" s="57">
        <v>15</v>
      </c>
      <c r="D3" s="21"/>
      <c r="I3" s="35" t="s">
        <v>112</v>
      </c>
      <c r="J3" s="43">
        <v>1</v>
      </c>
      <c r="K3" s="33" t="s">
        <v>101</v>
      </c>
      <c r="L3" s="22">
        <v>3</v>
      </c>
      <c r="M3" s="22">
        <v>3</v>
      </c>
    </row>
    <row r="4" spans="1:28" ht="25.8" customHeight="1" x14ac:dyDescent="0.25">
      <c r="A4" s="66">
        <v>3</v>
      </c>
      <c r="B4" s="74">
        <v>15</v>
      </c>
      <c r="C4" s="57">
        <v>15</v>
      </c>
      <c r="D4" s="21"/>
      <c r="I4" s="35" t="s">
        <v>113</v>
      </c>
      <c r="J4" s="43">
        <v>1</v>
      </c>
      <c r="K4" s="33" t="s">
        <v>100</v>
      </c>
      <c r="L4" s="22">
        <v>3</v>
      </c>
      <c r="M4" s="22">
        <v>3</v>
      </c>
      <c r="P4" s="77"/>
      <c r="Q4" s="78" t="s">
        <v>109</v>
      </c>
      <c r="R4" s="79"/>
    </row>
    <row r="5" spans="1:28" ht="25.8" customHeight="1" x14ac:dyDescent="0.25">
      <c r="A5" s="66">
        <v>4</v>
      </c>
      <c r="B5" s="74">
        <v>15</v>
      </c>
      <c r="C5" s="57">
        <v>15</v>
      </c>
      <c r="D5" s="21"/>
      <c r="I5" s="35" t="s">
        <v>114</v>
      </c>
      <c r="J5" s="43">
        <v>1</v>
      </c>
      <c r="K5" s="33" t="s">
        <v>103</v>
      </c>
      <c r="L5" s="22">
        <v>3</v>
      </c>
      <c r="M5" s="22">
        <v>3</v>
      </c>
      <c r="P5" s="78" t="s">
        <v>6</v>
      </c>
      <c r="Q5" s="77" t="s">
        <v>108</v>
      </c>
      <c r="R5" s="80" t="s">
        <v>107</v>
      </c>
      <c r="AB5" s="69"/>
    </row>
    <row r="6" spans="1:28" ht="25.8" customHeight="1" x14ac:dyDescent="0.25">
      <c r="A6" s="66">
        <v>5</v>
      </c>
      <c r="B6" s="74">
        <v>15</v>
      </c>
      <c r="C6" s="57">
        <v>15</v>
      </c>
      <c r="D6" s="21"/>
      <c r="I6" s="35" t="s">
        <v>115</v>
      </c>
      <c r="J6" s="43">
        <v>1</v>
      </c>
      <c r="K6" s="33" t="s">
        <v>102</v>
      </c>
      <c r="L6" s="22">
        <v>3</v>
      </c>
      <c r="M6" s="22">
        <v>3</v>
      </c>
      <c r="P6" s="77" t="s">
        <v>102</v>
      </c>
      <c r="Q6" s="81">
        <v>11</v>
      </c>
      <c r="R6" s="82">
        <v>11</v>
      </c>
    </row>
    <row r="7" spans="1:28" ht="25.8" customHeight="1" x14ac:dyDescent="0.25">
      <c r="A7" s="66">
        <v>6</v>
      </c>
      <c r="B7" s="65">
        <v>50</v>
      </c>
      <c r="C7" s="57">
        <v>50</v>
      </c>
      <c r="D7" s="21"/>
      <c r="I7" s="35" t="s">
        <v>116</v>
      </c>
      <c r="J7" s="43">
        <v>1</v>
      </c>
      <c r="K7" s="33" t="s">
        <v>97</v>
      </c>
      <c r="L7" s="22">
        <v>3</v>
      </c>
      <c r="M7" s="22">
        <v>3</v>
      </c>
      <c r="P7" s="83" t="s">
        <v>101</v>
      </c>
      <c r="Q7" s="84">
        <v>11</v>
      </c>
      <c r="R7" s="85">
        <v>11</v>
      </c>
    </row>
    <row r="8" spans="1:28" ht="25.8" customHeight="1" x14ac:dyDescent="0.25">
      <c r="A8" s="21"/>
      <c r="B8" s="21"/>
      <c r="C8" s="21"/>
      <c r="D8" s="21"/>
      <c r="I8" s="35" t="s">
        <v>117</v>
      </c>
      <c r="J8" s="43">
        <v>1</v>
      </c>
      <c r="K8" s="33" t="s">
        <v>103</v>
      </c>
      <c r="L8" s="22">
        <v>3</v>
      </c>
      <c r="M8" s="22">
        <v>3</v>
      </c>
      <c r="P8" s="83" t="s">
        <v>103</v>
      </c>
      <c r="Q8" s="84">
        <v>11</v>
      </c>
      <c r="R8" s="85">
        <v>11</v>
      </c>
    </row>
    <row r="9" spans="1:28" ht="25.8" customHeight="1" x14ac:dyDescent="0.25">
      <c r="A9" s="21"/>
      <c r="B9" s="21"/>
      <c r="C9" s="21"/>
      <c r="D9" s="21"/>
      <c r="I9" s="35" t="s">
        <v>118</v>
      </c>
      <c r="J9" s="43">
        <v>1</v>
      </c>
      <c r="K9" s="33" t="s">
        <v>100</v>
      </c>
      <c r="L9" s="22">
        <v>3</v>
      </c>
      <c r="M9" s="22">
        <v>3</v>
      </c>
      <c r="P9" s="83" t="s">
        <v>97</v>
      </c>
      <c r="Q9" s="84">
        <v>6</v>
      </c>
      <c r="R9" s="85">
        <v>6</v>
      </c>
    </row>
    <row r="10" spans="1:28" ht="25.8" customHeight="1" x14ac:dyDescent="0.25">
      <c r="A10" s="21"/>
      <c r="B10" s="21"/>
      <c r="C10" s="21"/>
      <c r="D10" s="21"/>
      <c r="I10" s="35" t="s">
        <v>119</v>
      </c>
      <c r="J10" s="43">
        <v>1</v>
      </c>
      <c r="K10" s="33" t="s">
        <v>101</v>
      </c>
      <c r="L10" s="22">
        <v>8</v>
      </c>
      <c r="M10" s="22">
        <v>8</v>
      </c>
      <c r="P10" s="83" t="s">
        <v>100</v>
      </c>
      <c r="Q10" s="84">
        <v>11</v>
      </c>
      <c r="R10" s="85">
        <v>11</v>
      </c>
    </row>
    <row r="11" spans="1:28" ht="25.8" customHeight="1" x14ac:dyDescent="0.25">
      <c r="A11" s="21"/>
      <c r="B11" s="21"/>
      <c r="C11" s="21"/>
      <c r="D11" s="21"/>
      <c r="I11" s="35" t="s">
        <v>120</v>
      </c>
      <c r="J11" s="43">
        <v>1</v>
      </c>
      <c r="K11" s="33" t="s">
        <v>102</v>
      </c>
      <c r="L11" s="22">
        <v>8</v>
      </c>
      <c r="M11" s="22">
        <v>8</v>
      </c>
      <c r="P11" s="86" t="s">
        <v>104</v>
      </c>
      <c r="Q11" s="87">
        <v>50</v>
      </c>
      <c r="R11" s="88">
        <v>50</v>
      </c>
    </row>
    <row r="12" spans="1:28" ht="25.8" customHeight="1" x14ac:dyDescent="0.25">
      <c r="A12" s="96" t="s">
        <v>13</v>
      </c>
      <c r="B12" s="97"/>
      <c r="C12" s="97"/>
      <c r="D12" s="97"/>
      <c r="E12" s="97"/>
      <c r="F12" s="97"/>
      <c r="G12" s="97"/>
      <c r="I12" s="35" t="s">
        <v>121</v>
      </c>
      <c r="J12" s="43">
        <v>1</v>
      </c>
      <c r="K12" s="33" t="s">
        <v>103</v>
      </c>
      <c r="L12" s="22">
        <v>5</v>
      </c>
      <c r="M12" s="22">
        <v>5</v>
      </c>
      <c r="P12"/>
      <c r="Q12"/>
      <c r="R12"/>
    </row>
    <row r="13" spans="1:28" ht="25.8" customHeight="1" x14ac:dyDescent="0.25">
      <c r="A13" s="55" t="s">
        <v>14</v>
      </c>
      <c r="B13" s="59" t="s">
        <v>15</v>
      </c>
      <c r="C13" s="59" t="s">
        <v>16</v>
      </c>
      <c r="D13" s="59" t="s">
        <v>17</v>
      </c>
      <c r="E13" s="59" t="s">
        <v>18</v>
      </c>
      <c r="F13" s="60" t="s">
        <v>19</v>
      </c>
      <c r="G13" s="59" t="s">
        <v>20</v>
      </c>
      <c r="I13" s="35" t="s">
        <v>122</v>
      </c>
      <c r="J13" s="43">
        <v>1</v>
      </c>
      <c r="K13" s="33" t="s">
        <v>100</v>
      </c>
      <c r="L13" s="22">
        <v>5</v>
      </c>
      <c r="M13" s="22">
        <v>5</v>
      </c>
    </row>
    <row r="14" spans="1:28" ht="25.8" customHeight="1" x14ac:dyDescent="0.25">
      <c r="A14" s="22"/>
      <c r="B14" s="51"/>
      <c r="C14" s="32"/>
      <c r="D14" s="32"/>
      <c r="E14" s="32"/>
      <c r="F14" s="58"/>
      <c r="G14" s="37"/>
      <c r="I14" s="35"/>
      <c r="J14" s="43"/>
      <c r="K14" s="33"/>
      <c r="L14" s="22"/>
      <c r="M14" s="22"/>
    </row>
    <row r="15" spans="1:28" ht="25.8" customHeight="1" x14ac:dyDescent="0.25">
      <c r="A15" s="22"/>
      <c r="B15" s="22"/>
      <c r="C15" s="32"/>
      <c r="D15" s="32"/>
      <c r="E15" s="32"/>
      <c r="F15" s="57"/>
      <c r="G15" s="56"/>
      <c r="I15" s="35"/>
      <c r="J15" s="43"/>
      <c r="K15" s="33"/>
      <c r="L15" s="22"/>
      <c r="M15" s="22"/>
    </row>
    <row r="16" spans="1:28" ht="25.8" customHeight="1" x14ac:dyDescent="0.25">
      <c r="A16" s="22"/>
      <c r="B16" s="22"/>
      <c r="C16" s="32"/>
      <c r="D16" s="32"/>
      <c r="E16" s="32"/>
      <c r="F16" s="39"/>
      <c r="G16" s="29"/>
      <c r="I16" s="35"/>
      <c r="J16" s="43"/>
      <c r="K16" s="33"/>
      <c r="L16" s="22"/>
      <c r="M16" s="22"/>
    </row>
    <row r="17" spans="1:13" ht="25.8" customHeight="1" x14ac:dyDescent="0.25">
      <c r="A17" s="22"/>
      <c r="B17" s="37"/>
      <c r="C17" s="32"/>
      <c r="D17" s="32"/>
      <c r="E17" s="32"/>
      <c r="F17" s="41"/>
      <c r="G17" s="29"/>
      <c r="I17" s="35"/>
      <c r="J17" s="43"/>
      <c r="K17" s="33"/>
      <c r="L17" s="22"/>
      <c r="M17" s="22"/>
    </row>
    <row r="18" spans="1:13" ht="25.8" customHeight="1" x14ac:dyDescent="0.25">
      <c r="A18" s="22"/>
      <c r="B18" s="22"/>
      <c r="C18" s="32"/>
      <c r="D18" s="32"/>
      <c r="E18" s="32"/>
      <c r="F18" s="32"/>
      <c r="G18" s="36"/>
      <c r="I18" s="35"/>
      <c r="J18" s="43"/>
      <c r="K18" s="33"/>
      <c r="L18" s="22"/>
      <c r="M18" s="22"/>
    </row>
    <row r="19" spans="1:13" ht="25.8" customHeight="1" x14ac:dyDescent="0.25">
      <c r="A19" s="32"/>
      <c r="B19" s="32"/>
      <c r="C19" s="32"/>
      <c r="D19" s="32"/>
      <c r="E19" s="32"/>
      <c r="F19" s="32"/>
      <c r="G19" s="32"/>
      <c r="I19" s="35"/>
      <c r="J19" s="43"/>
      <c r="K19" s="33"/>
      <c r="L19" s="22"/>
      <c r="M19" s="22"/>
    </row>
    <row r="20" spans="1:13" ht="25.8" customHeight="1" x14ac:dyDescent="0.25">
      <c r="A20" s="32"/>
      <c r="B20" s="32"/>
      <c r="C20" s="32"/>
      <c r="D20" s="32"/>
      <c r="E20" s="32"/>
      <c r="F20" s="32"/>
      <c r="G20" s="32"/>
      <c r="I20" s="35"/>
      <c r="J20" s="43"/>
      <c r="K20" s="43"/>
      <c r="L20" s="22"/>
      <c r="M20" s="22"/>
    </row>
    <row r="21" spans="1:13" ht="25.8" customHeight="1" x14ac:dyDescent="0.25">
      <c r="A21" s="32"/>
      <c r="B21" s="32"/>
      <c r="C21" s="32"/>
      <c r="D21" s="32"/>
      <c r="E21" s="32"/>
      <c r="F21" s="32"/>
      <c r="G21" s="32"/>
      <c r="I21" s="35"/>
      <c r="J21" s="43"/>
      <c r="K21" s="43"/>
      <c r="L21" s="22"/>
      <c r="M21" s="22"/>
    </row>
    <row r="22" spans="1:13" ht="25.8" customHeight="1" x14ac:dyDescent="0.25">
      <c r="A22" s="32"/>
      <c r="B22" s="32"/>
      <c r="C22" s="32"/>
      <c r="D22" s="32"/>
      <c r="E22" s="32"/>
      <c r="F22" s="32"/>
      <c r="G22" s="32"/>
      <c r="I22" s="35"/>
      <c r="J22" s="43"/>
      <c r="K22" s="43"/>
      <c r="L22" s="22"/>
      <c r="M22" s="22"/>
    </row>
    <row r="23" spans="1:13" ht="25.8" customHeight="1" x14ac:dyDescent="0.25">
      <c r="A23" s="32"/>
      <c r="B23" s="32"/>
      <c r="C23" s="32"/>
      <c r="D23" s="32"/>
      <c r="E23" s="32"/>
      <c r="F23" s="32"/>
      <c r="G23" s="32"/>
      <c r="I23" s="35"/>
      <c r="J23" s="43"/>
      <c r="K23" s="43"/>
      <c r="L23" s="22"/>
      <c r="M23" s="22"/>
    </row>
    <row r="24" spans="1:13" ht="25.8" customHeight="1" x14ac:dyDescent="0.25">
      <c r="A24" s="32"/>
      <c r="B24" s="32"/>
      <c r="C24" s="32"/>
      <c r="D24" s="32"/>
      <c r="E24" s="32"/>
      <c r="F24" s="32"/>
      <c r="G24" s="32"/>
      <c r="I24" s="35"/>
      <c r="J24" s="43"/>
      <c r="K24" s="43"/>
      <c r="L24" s="22"/>
      <c r="M24" s="22"/>
    </row>
    <row r="25" spans="1:13" ht="25.8" customHeight="1" x14ac:dyDescent="0.25">
      <c r="A25" s="32"/>
      <c r="B25" s="32"/>
      <c r="C25" s="32"/>
      <c r="D25" s="32"/>
      <c r="E25" s="32"/>
      <c r="F25" s="32"/>
      <c r="G25" s="32"/>
      <c r="I25" s="35"/>
      <c r="J25" s="43"/>
      <c r="K25" s="43"/>
      <c r="L25" s="22"/>
      <c r="M25" s="22"/>
    </row>
    <row r="26" spans="1:13" ht="25.8" customHeight="1" x14ac:dyDescent="0.25">
      <c r="A26" s="21"/>
      <c r="B26" s="21"/>
      <c r="C26" s="21"/>
      <c r="D26" s="21"/>
      <c r="I26" s="35"/>
      <c r="J26" s="43"/>
      <c r="K26" s="43"/>
      <c r="L26" s="22"/>
      <c r="M26" s="22"/>
    </row>
    <row r="27" spans="1:13" ht="25.8" customHeight="1" x14ac:dyDescent="0.25">
      <c r="A27" s="21"/>
      <c r="B27" s="21"/>
      <c r="C27" s="21"/>
      <c r="D27" s="21"/>
      <c r="I27" s="35"/>
      <c r="J27" s="43"/>
      <c r="K27" s="43"/>
      <c r="L27" s="22"/>
      <c r="M27" s="22"/>
    </row>
    <row r="28" spans="1:13" ht="25.8" customHeight="1" x14ac:dyDescent="0.25">
      <c r="A28" s="96" t="s">
        <v>52</v>
      </c>
      <c r="B28" s="97"/>
      <c r="C28" s="97"/>
      <c r="D28" s="97"/>
      <c r="E28" s="97"/>
      <c r="F28" s="97"/>
      <c r="G28" s="97"/>
      <c r="I28" s="35"/>
      <c r="J28" s="43"/>
      <c r="K28" s="43"/>
      <c r="L28" s="22"/>
      <c r="M28" s="22"/>
    </row>
    <row r="29" spans="1:13" ht="25.8" customHeight="1" x14ac:dyDescent="0.25">
      <c r="A29" s="55" t="s">
        <v>14</v>
      </c>
      <c r="B29" s="54" t="s">
        <v>53</v>
      </c>
      <c r="C29" s="54" t="s">
        <v>16</v>
      </c>
      <c r="D29" s="54" t="s">
        <v>17</v>
      </c>
      <c r="E29" s="53" t="s">
        <v>18</v>
      </c>
      <c r="F29" s="53" t="s">
        <v>19</v>
      </c>
      <c r="G29" s="53" t="s">
        <v>20</v>
      </c>
      <c r="I29" s="35"/>
      <c r="J29" s="43"/>
      <c r="K29" s="43"/>
      <c r="L29" s="22"/>
      <c r="M29" s="22"/>
    </row>
    <row r="30" spans="1:13" ht="25.8" customHeight="1" x14ac:dyDescent="0.25">
      <c r="A30" s="41">
        <v>1</v>
      </c>
      <c r="B30" s="52"/>
      <c r="C30" s="51">
        <v>5</v>
      </c>
      <c r="D30" s="50">
        <v>5</v>
      </c>
      <c r="E30" s="49" t="s">
        <v>123</v>
      </c>
      <c r="F30" s="48" t="s">
        <v>46</v>
      </c>
      <c r="G30" s="47"/>
      <c r="I30" s="35"/>
      <c r="J30" s="43"/>
      <c r="K30" s="43"/>
      <c r="L30" s="22"/>
      <c r="M30" s="22"/>
    </row>
    <row r="31" spans="1:13" ht="25.8" customHeight="1" x14ac:dyDescent="0.25">
      <c r="A31" s="41"/>
      <c r="B31" s="40"/>
      <c r="C31" s="22"/>
      <c r="D31" s="41"/>
      <c r="E31" s="46" t="s">
        <v>96</v>
      </c>
      <c r="F31" s="45"/>
      <c r="G31" s="44"/>
      <c r="I31" s="35"/>
      <c r="J31" s="43"/>
      <c r="K31" s="33"/>
      <c r="L31" s="22"/>
      <c r="M31" s="22"/>
    </row>
    <row r="32" spans="1:13" ht="25.8" customHeight="1" x14ac:dyDescent="0.25">
      <c r="A32" s="41"/>
      <c r="B32" s="40"/>
      <c r="C32" s="32"/>
      <c r="D32" s="32"/>
      <c r="E32" s="32"/>
      <c r="F32" s="39"/>
      <c r="G32" s="42"/>
      <c r="I32" s="35"/>
      <c r="J32" s="34"/>
      <c r="K32" s="33"/>
      <c r="L32" s="22"/>
      <c r="M32" s="22"/>
    </row>
    <row r="33" spans="1:18" ht="25.8" customHeight="1" x14ac:dyDescent="0.25">
      <c r="A33" s="41"/>
      <c r="B33" s="40"/>
      <c r="C33" s="32"/>
      <c r="D33" s="32"/>
      <c r="E33" s="32"/>
      <c r="F33" s="39"/>
      <c r="G33" s="29"/>
      <c r="I33" s="35"/>
      <c r="J33" s="34"/>
      <c r="K33" s="38"/>
      <c r="L33" s="22"/>
      <c r="M33" s="22"/>
    </row>
    <row r="34" spans="1:18" ht="25.8" customHeight="1" x14ac:dyDescent="0.25">
      <c r="A34" s="32"/>
      <c r="B34" s="32"/>
      <c r="C34" s="37"/>
      <c r="D34" s="37"/>
      <c r="E34" s="37"/>
      <c r="F34" s="32"/>
      <c r="G34" s="36"/>
      <c r="I34" s="35"/>
      <c r="J34" s="34"/>
      <c r="K34" s="33"/>
      <c r="L34" s="22"/>
      <c r="M34" s="22"/>
    </row>
    <row r="35" spans="1:18" ht="25.8" customHeight="1" x14ac:dyDescent="0.25">
      <c r="A35" s="32"/>
      <c r="B35" s="32"/>
      <c r="C35" s="32"/>
      <c r="D35" s="32"/>
      <c r="E35" s="32"/>
      <c r="F35" s="32"/>
      <c r="G35" s="32"/>
      <c r="I35" s="35"/>
      <c r="J35" s="34"/>
      <c r="K35" s="33"/>
      <c r="L35" s="22"/>
      <c r="M35" s="22"/>
    </row>
    <row r="36" spans="1:18" ht="25.8" customHeight="1" x14ac:dyDescent="0.25">
      <c r="A36" s="32"/>
      <c r="B36" s="32"/>
      <c r="C36" s="32"/>
      <c r="D36" s="32"/>
      <c r="E36" s="32"/>
      <c r="F36" s="32"/>
      <c r="G36" s="32"/>
      <c r="I36" s="35"/>
      <c r="J36" s="34"/>
      <c r="K36" s="33"/>
      <c r="L36" s="22"/>
      <c r="M36" s="22"/>
    </row>
    <row r="37" spans="1:18" ht="25.8" customHeight="1" x14ac:dyDescent="0.25">
      <c r="A37" s="32"/>
      <c r="B37" s="32"/>
      <c r="C37" s="32"/>
      <c r="D37" s="32"/>
      <c r="E37" s="32"/>
      <c r="F37" s="32"/>
      <c r="G37" s="32"/>
      <c r="K37" s="23" t="s">
        <v>63</v>
      </c>
      <c r="L37" s="22">
        <f>SUM(L2:L36)</f>
        <v>50</v>
      </c>
      <c r="M37" s="22">
        <f>SUM(M2:M36)</f>
        <v>50</v>
      </c>
    </row>
    <row r="38" spans="1:18" ht="25.8" customHeight="1" x14ac:dyDescent="0.25">
      <c r="A38" s="32"/>
      <c r="B38" s="32"/>
      <c r="C38" s="32"/>
      <c r="D38" s="32"/>
      <c r="E38" s="32"/>
      <c r="F38" s="32"/>
      <c r="G38" s="32"/>
    </row>
    <row r="39" spans="1:18" ht="25.8" customHeight="1" x14ac:dyDescent="0.25">
      <c r="A39" s="32"/>
      <c r="B39" s="32"/>
      <c r="C39" s="32"/>
      <c r="D39" s="32"/>
      <c r="E39" s="32"/>
      <c r="F39" s="32"/>
      <c r="G39" s="32"/>
    </row>
    <row r="40" spans="1:18" ht="25.8" customHeight="1" x14ac:dyDescent="0.25">
      <c r="A40" s="32"/>
      <c r="B40" s="32"/>
      <c r="C40" s="32"/>
      <c r="D40" s="32"/>
      <c r="E40" s="32"/>
      <c r="F40" s="32"/>
      <c r="G40" s="32"/>
    </row>
    <row r="41" spans="1:18" ht="25.8" customHeight="1" x14ac:dyDescent="0.25">
      <c r="A41" s="21"/>
      <c r="B41" s="21"/>
      <c r="C41" s="21"/>
      <c r="D41" s="21"/>
    </row>
    <row r="42" spans="1:18" ht="25.8" customHeight="1" x14ac:dyDescent="0.25">
      <c r="A42" s="21"/>
      <c r="B42" s="21"/>
      <c r="C42" s="21"/>
      <c r="D42" s="21"/>
      <c r="N42" s="31" t="s">
        <v>0</v>
      </c>
      <c r="O42" s="31" t="s">
        <v>1</v>
      </c>
      <c r="P42" s="31" t="s">
        <v>95</v>
      </c>
      <c r="Q42" s="31" t="s">
        <v>94</v>
      </c>
      <c r="R42" s="30" t="s">
        <v>93</v>
      </c>
    </row>
    <row r="43" spans="1:18" ht="25.8" customHeight="1" x14ac:dyDescent="0.25">
      <c r="A43" s="21"/>
      <c r="B43" s="21"/>
      <c r="C43" s="21"/>
      <c r="D43" s="21"/>
      <c r="N43" s="98">
        <v>1</v>
      </c>
      <c r="O43" s="25">
        <f>VLOOKUP(P43,$I$2:$L$36,4,FALSE)</f>
        <v>3</v>
      </c>
      <c r="P43" s="24" t="s">
        <v>92</v>
      </c>
      <c r="Q43" s="24" t="str">
        <f>VLOOKUP(P43,$I$2:$L$36,3,FALSE)</f>
        <v>nabil</v>
      </c>
      <c r="R43" s="101">
        <f>SUM(O43:O47)</f>
        <v>15</v>
      </c>
    </row>
    <row r="44" spans="1:18" ht="25.8" customHeight="1" x14ac:dyDescent="0.25">
      <c r="A44" s="21"/>
      <c r="B44" s="21"/>
      <c r="C44" s="21"/>
      <c r="D44" s="21"/>
      <c r="N44" s="99"/>
      <c r="O44" s="25">
        <f t="shared" ref="O44:O68" si="0">VLOOKUP(P44,$I$3:$L$36,4,FALSE)</f>
        <v>3</v>
      </c>
      <c r="P44" s="35" t="s">
        <v>112</v>
      </c>
      <c r="Q44" s="24" t="str">
        <f t="shared" ref="Q44:Q68" si="1">VLOOKUP(P44,$I$3:$L$36,3,FALSE)</f>
        <v>alaaa</v>
      </c>
      <c r="R44" s="101"/>
    </row>
    <row r="45" spans="1:18" ht="25.8" customHeight="1" x14ac:dyDescent="0.25">
      <c r="A45" s="21"/>
      <c r="B45" s="21"/>
      <c r="C45" s="21"/>
      <c r="D45" s="21"/>
      <c r="N45" s="99"/>
      <c r="O45" s="25">
        <f t="shared" si="0"/>
        <v>3</v>
      </c>
      <c r="P45" s="35" t="s">
        <v>113</v>
      </c>
      <c r="Q45" s="24" t="str">
        <f t="shared" si="1"/>
        <v>zahraan</v>
      </c>
      <c r="R45" s="101"/>
    </row>
    <row r="46" spans="1:18" ht="25.8" customHeight="1" x14ac:dyDescent="0.25">
      <c r="A46" s="21"/>
      <c r="B46" s="21"/>
      <c r="C46" s="21"/>
      <c r="D46" s="21"/>
      <c r="N46" s="99"/>
      <c r="O46" s="25">
        <f t="shared" si="0"/>
        <v>3</v>
      </c>
      <c r="P46" s="35" t="s">
        <v>114</v>
      </c>
      <c r="Q46" s="24" t="str">
        <f t="shared" si="1"/>
        <v>alhussin</v>
      </c>
      <c r="R46" s="101"/>
    </row>
    <row r="47" spans="1:18" ht="25.8" customHeight="1" x14ac:dyDescent="0.25">
      <c r="A47" s="21"/>
      <c r="B47" s="21"/>
      <c r="C47" s="21"/>
      <c r="D47" s="21"/>
      <c r="N47" s="99"/>
      <c r="O47" s="25">
        <f t="shared" si="0"/>
        <v>3</v>
      </c>
      <c r="P47" s="35" t="s">
        <v>115</v>
      </c>
      <c r="Q47" s="24" t="str">
        <f t="shared" si="1"/>
        <v>abdalrahman</v>
      </c>
      <c r="R47" s="101"/>
    </row>
    <row r="48" spans="1:18" ht="25.8" customHeight="1" x14ac:dyDescent="0.25">
      <c r="A48" s="21"/>
      <c r="B48" s="21"/>
      <c r="C48" s="21"/>
      <c r="D48" s="21"/>
      <c r="N48" s="98">
        <v>2</v>
      </c>
      <c r="O48" s="25">
        <f t="shared" si="0"/>
        <v>3</v>
      </c>
      <c r="P48" s="35" t="s">
        <v>117</v>
      </c>
      <c r="Q48" s="28" t="str">
        <f t="shared" si="1"/>
        <v>alhussin</v>
      </c>
      <c r="R48" s="103">
        <f>SUM(O48:O49)</f>
        <v>6</v>
      </c>
    </row>
    <row r="49" spans="1:18" ht="25.8" customHeight="1" x14ac:dyDescent="0.25">
      <c r="A49" s="21"/>
      <c r="B49" s="21"/>
      <c r="C49" s="21"/>
      <c r="D49" s="21"/>
      <c r="N49" s="99"/>
      <c r="O49" s="25">
        <f t="shared" si="0"/>
        <v>3</v>
      </c>
      <c r="P49" s="35" t="s">
        <v>117</v>
      </c>
      <c r="Q49" s="28" t="str">
        <f t="shared" si="1"/>
        <v>alhussin</v>
      </c>
      <c r="R49" s="103"/>
    </row>
    <row r="50" spans="1:18" ht="25.8" customHeight="1" x14ac:dyDescent="0.25">
      <c r="A50" s="21"/>
      <c r="B50" s="21"/>
      <c r="C50" s="21"/>
      <c r="D50" s="21"/>
      <c r="N50" s="27">
        <v>3</v>
      </c>
      <c r="O50" s="25" t="e">
        <f t="shared" si="0"/>
        <v>#N/A</v>
      </c>
      <c r="P50" s="24"/>
      <c r="Q50" s="24" t="e">
        <f t="shared" si="1"/>
        <v>#N/A</v>
      </c>
      <c r="R50" s="26">
        <v>0</v>
      </c>
    </row>
    <row r="51" spans="1:18" ht="25.8" customHeight="1" x14ac:dyDescent="0.25">
      <c r="A51" s="21"/>
      <c r="B51" s="21"/>
      <c r="C51" s="21"/>
      <c r="D51" s="21"/>
      <c r="N51" s="104">
        <v>4</v>
      </c>
      <c r="O51" s="25" t="e">
        <f t="shared" si="0"/>
        <v>#N/A</v>
      </c>
      <c r="P51" s="24"/>
      <c r="Q51" s="24" t="e">
        <f t="shared" si="1"/>
        <v>#N/A</v>
      </c>
      <c r="R51" s="106">
        <v>0</v>
      </c>
    </row>
    <row r="52" spans="1:18" ht="25.8" customHeight="1" x14ac:dyDescent="0.25">
      <c r="A52" s="21"/>
      <c r="B52" s="21"/>
      <c r="C52" s="21"/>
      <c r="D52" s="21"/>
      <c r="N52" s="105"/>
      <c r="O52" s="25" t="e">
        <f t="shared" si="0"/>
        <v>#N/A</v>
      </c>
      <c r="P52" s="24"/>
      <c r="Q52" s="24" t="e">
        <f t="shared" si="1"/>
        <v>#N/A</v>
      </c>
      <c r="R52" s="101"/>
    </row>
    <row r="53" spans="1:18" ht="25.8" customHeight="1" x14ac:dyDescent="0.25">
      <c r="A53" s="21"/>
      <c r="B53" s="21"/>
      <c r="C53" s="21"/>
      <c r="D53" s="21"/>
      <c r="N53" s="105"/>
      <c r="O53" s="25" t="e">
        <f t="shared" si="0"/>
        <v>#N/A</v>
      </c>
      <c r="P53" s="24"/>
      <c r="Q53" s="24" t="e">
        <f t="shared" si="1"/>
        <v>#N/A</v>
      </c>
      <c r="R53" s="101"/>
    </row>
    <row r="54" spans="1:18" ht="25.8" customHeight="1" x14ac:dyDescent="0.25">
      <c r="A54" s="21"/>
      <c r="B54" s="21"/>
      <c r="C54" s="21"/>
      <c r="D54" s="21"/>
      <c r="N54" s="105"/>
      <c r="O54" s="25" t="e">
        <f t="shared" si="0"/>
        <v>#N/A</v>
      </c>
      <c r="P54" s="24"/>
      <c r="Q54" s="24" t="e">
        <f t="shared" si="1"/>
        <v>#N/A</v>
      </c>
      <c r="R54" s="101"/>
    </row>
    <row r="55" spans="1:18" ht="25.8" customHeight="1" x14ac:dyDescent="0.25">
      <c r="A55" s="21"/>
      <c r="B55" s="21"/>
      <c r="C55" s="21"/>
      <c r="D55" s="21"/>
      <c r="N55" s="105"/>
      <c r="O55" s="25" t="e">
        <f t="shared" si="0"/>
        <v>#N/A</v>
      </c>
      <c r="P55" s="24"/>
      <c r="Q55" s="24" t="e">
        <f t="shared" si="1"/>
        <v>#N/A</v>
      </c>
      <c r="R55" s="101"/>
    </row>
    <row r="56" spans="1:18" ht="25.8" customHeight="1" x14ac:dyDescent="0.25">
      <c r="A56" s="21"/>
      <c r="B56" s="21"/>
      <c r="C56" s="21"/>
      <c r="D56" s="21"/>
      <c r="N56" s="105"/>
      <c r="O56" s="25" t="e">
        <f t="shared" si="0"/>
        <v>#N/A</v>
      </c>
      <c r="P56" s="24"/>
      <c r="Q56" s="24" t="e">
        <f t="shared" si="1"/>
        <v>#N/A</v>
      </c>
      <c r="R56" s="101"/>
    </row>
    <row r="57" spans="1:18" ht="25.8" customHeight="1" x14ac:dyDescent="0.25">
      <c r="A57" s="21"/>
      <c r="B57" s="21"/>
      <c r="C57" s="21"/>
      <c r="D57" s="21"/>
      <c r="N57" s="105"/>
      <c r="O57" s="25" t="e">
        <f t="shared" si="0"/>
        <v>#N/A</v>
      </c>
      <c r="P57" s="24"/>
      <c r="Q57" s="24" t="e">
        <f t="shared" si="1"/>
        <v>#N/A</v>
      </c>
      <c r="R57" s="101"/>
    </row>
    <row r="58" spans="1:18" ht="25.8" customHeight="1" x14ac:dyDescent="0.25">
      <c r="A58" s="21"/>
      <c r="B58" s="21"/>
      <c r="C58" s="21"/>
      <c r="D58" s="21"/>
      <c r="N58" s="105"/>
      <c r="O58" s="25" t="e">
        <f t="shared" si="0"/>
        <v>#N/A</v>
      </c>
      <c r="P58" s="24"/>
      <c r="Q58" s="24" t="e">
        <f t="shared" si="1"/>
        <v>#N/A</v>
      </c>
      <c r="R58" s="107"/>
    </row>
    <row r="59" spans="1:18" ht="25.8" customHeight="1" x14ac:dyDescent="0.25">
      <c r="A59" s="21"/>
      <c r="B59" s="21"/>
      <c r="C59" s="21"/>
      <c r="D59" s="21"/>
      <c r="N59" s="104">
        <v>5</v>
      </c>
      <c r="O59" s="25" t="e">
        <f t="shared" si="0"/>
        <v>#N/A</v>
      </c>
      <c r="P59" s="24"/>
      <c r="Q59" s="24" t="e">
        <f t="shared" si="1"/>
        <v>#N/A</v>
      </c>
      <c r="R59" s="106">
        <v>0</v>
      </c>
    </row>
    <row r="60" spans="1:18" ht="25.8" customHeight="1" x14ac:dyDescent="0.25">
      <c r="A60" s="21"/>
      <c r="B60" s="21"/>
      <c r="C60" s="21"/>
      <c r="D60" s="21"/>
      <c r="N60" s="105"/>
      <c r="O60" s="25" t="e">
        <f t="shared" si="0"/>
        <v>#N/A</v>
      </c>
      <c r="P60" s="24"/>
      <c r="Q60" s="24" t="e">
        <f t="shared" si="1"/>
        <v>#N/A</v>
      </c>
      <c r="R60" s="105"/>
    </row>
    <row r="61" spans="1:18" ht="25.8" customHeight="1" x14ac:dyDescent="0.25">
      <c r="A61" s="21"/>
      <c r="B61" s="21"/>
      <c r="C61" s="21"/>
      <c r="D61" s="21"/>
      <c r="N61" s="105"/>
      <c r="O61" s="25" t="e">
        <f t="shared" si="0"/>
        <v>#N/A</v>
      </c>
      <c r="P61" s="24"/>
      <c r="Q61" s="24" t="e">
        <f t="shared" si="1"/>
        <v>#N/A</v>
      </c>
      <c r="R61" s="105"/>
    </row>
    <row r="62" spans="1:18" ht="25.8" customHeight="1" x14ac:dyDescent="0.25">
      <c r="A62" s="21"/>
      <c r="B62" s="21"/>
      <c r="C62" s="21"/>
      <c r="D62" s="21"/>
      <c r="N62" s="105"/>
      <c r="O62" s="25" t="e">
        <f t="shared" si="0"/>
        <v>#N/A</v>
      </c>
      <c r="P62" s="24"/>
      <c r="Q62" s="24" t="e">
        <f t="shared" si="1"/>
        <v>#N/A</v>
      </c>
      <c r="R62" s="105"/>
    </row>
    <row r="63" spans="1:18" ht="25.8" customHeight="1" x14ac:dyDescent="0.25">
      <c r="A63" s="21"/>
      <c r="B63" s="21"/>
      <c r="C63" s="21"/>
      <c r="D63" s="21"/>
      <c r="N63" s="108"/>
      <c r="O63" s="25" t="e">
        <f t="shared" si="0"/>
        <v>#N/A</v>
      </c>
      <c r="P63" s="24"/>
      <c r="Q63" s="24" t="e">
        <f t="shared" si="1"/>
        <v>#N/A</v>
      </c>
      <c r="R63" s="108"/>
    </row>
    <row r="64" spans="1:18" ht="25.8" customHeight="1" x14ac:dyDescent="0.25">
      <c r="A64" s="21"/>
      <c r="B64" s="21"/>
      <c r="C64" s="21"/>
      <c r="D64" s="21"/>
      <c r="N64" s="104">
        <v>6</v>
      </c>
      <c r="O64" s="25">
        <f t="shared" si="0"/>
        <v>8</v>
      </c>
      <c r="P64" s="35" t="s">
        <v>119</v>
      </c>
      <c r="Q64" s="24" t="str">
        <f t="shared" si="1"/>
        <v>alaaa</v>
      </c>
      <c r="R64" s="106">
        <f>SUM(O64:O68)</f>
        <v>29</v>
      </c>
    </row>
    <row r="65" spans="1:18" ht="25.8" customHeight="1" x14ac:dyDescent="0.25">
      <c r="A65" s="21"/>
      <c r="B65" s="21"/>
      <c r="C65" s="21"/>
      <c r="D65" s="21"/>
      <c r="N65" s="105"/>
      <c r="O65" s="25">
        <f t="shared" si="0"/>
        <v>8</v>
      </c>
      <c r="P65" s="35" t="s">
        <v>120</v>
      </c>
      <c r="Q65" s="24" t="str">
        <f t="shared" si="1"/>
        <v>abdalrahman</v>
      </c>
      <c r="R65" s="105"/>
    </row>
    <row r="66" spans="1:18" ht="25.8" customHeight="1" x14ac:dyDescent="0.25">
      <c r="A66" s="21"/>
      <c r="B66" s="21"/>
      <c r="C66" s="21"/>
      <c r="D66" s="21"/>
      <c r="N66" s="105"/>
      <c r="O66" s="25">
        <f t="shared" si="0"/>
        <v>5</v>
      </c>
      <c r="P66" s="35" t="s">
        <v>121</v>
      </c>
      <c r="Q66" s="24" t="str">
        <f t="shared" si="1"/>
        <v>alhussin</v>
      </c>
      <c r="R66" s="105"/>
    </row>
    <row r="67" spans="1:18" ht="25.8" customHeight="1" x14ac:dyDescent="0.25">
      <c r="A67" s="21"/>
      <c r="B67" s="21"/>
      <c r="C67" s="21"/>
      <c r="D67" s="21"/>
      <c r="N67" s="105"/>
      <c r="O67" s="25">
        <f t="shared" si="0"/>
        <v>5</v>
      </c>
      <c r="P67" s="35" t="s">
        <v>122</v>
      </c>
      <c r="Q67" s="24" t="str">
        <f t="shared" si="1"/>
        <v>zahraan</v>
      </c>
      <c r="R67" s="105"/>
    </row>
    <row r="68" spans="1:18" ht="25.8" customHeight="1" x14ac:dyDescent="0.25">
      <c r="A68" s="21"/>
      <c r="B68" s="21"/>
      <c r="C68" s="21"/>
      <c r="D68" s="21"/>
      <c r="N68" s="108"/>
      <c r="O68" s="25">
        <f t="shared" si="0"/>
        <v>3</v>
      </c>
      <c r="P68" s="35" t="s">
        <v>116</v>
      </c>
      <c r="Q68" s="24" t="str">
        <f t="shared" si="1"/>
        <v>nabil</v>
      </c>
      <c r="R68" s="108"/>
    </row>
    <row r="69" spans="1:18" ht="25.8" customHeight="1" x14ac:dyDescent="0.25">
      <c r="A69" s="21"/>
      <c r="B69" s="21"/>
      <c r="C69" s="21"/>
      <c r="D69" s="21"/>
      <c r="P69" s="24"/>
      <c r="Q69" s="23" t="s">
        <v>63</v>
      </c>
      <c r="R69" s="22">
        <f>SUM(R43:R68)</f>
        <v>50</v>
      </c>
    </row>
    <row r="70" spans="1:18" ht="25.8" customHeight="1" x14ac:dyDescent="0.25">
      <c r="A70" s="21"/>
      <c r="B70" s="21"/>
      <c r="C70" s="21"/>
      <c r="D70" s="21"/>
    </row>
    <row r="71" spans="1:18" ht="25.8" customHeight="1" x14ac:dyDescent="0.25">
      <c r="A71" s="21"/>
      <c r="B71" s="21"/>
      <c r="C71" s="21"/>
      <c r="D71" s="21"/>
    </row>
    <row r="72" spans="1:18" ht="25.8" customHeight="1" x14ac:dyDescent="0.25">
      <c r="A72" s="21"/>
      <c r="B72" s="21"/>
      <c r="C72" s="21"/>
      <c r="D72" s="21"/>
    </row>
    <row r="73" spans="1:18" ht="25.8" customHeight="1" x14ac:dyDescent="0.25">
      <c r="A73" s="21"/>
      <c r="B73" s="21"/>
      <c r="C73" s="21"/>
      <c r="D73" s="21"/>
    </row>
    <row r="74" spans="1:18" ht="25.8" customHeight="1" x14ac:dyDescent="0.25">
      <c r="A74" s="21"/>
      <c r="B74" s="21"/>
      <c r="C74" s="21"/>
      <c r="D74" s="21"/>
    </row>
    <row r="75" spans="1:18" ht="25.8" customHeight="1" x14ac:dyDescent="0.25">
      <c r="A75" s="21"/>
      <c r="B75" s="21"/>
      <c r="C75" s="21"/>
      <c r="D75" s="21"/>
    </row>
    <row r="76" spans="1:18" ht="25.8" customHeight="1" x14ac:dyDescent="0.25">
      <c r="A76" s="21"/>
      <c r="B76" s="21"/>
      <c r="C76" s="21"/>
      <c r="D76" s="21"/>
    </row>
    <row r="77" spans="1:18" ht="25.8" customHeight="1" x14ac:dyDescent="0.25">
      <c r="A77" s="21"/>
      <c r="B77" s="21"/>
      <c r="C77" s="21"/>
      <c r="D77" s="21"/>
    </row>
    <row r="78" spans="1:18" ht="25.8" customHeight="1" x14ac:dyDescent="0.25">
      <c r="A78" s="21"/>
      <c r="B78" s="21"/>
      <c r="C78" s="21"/>
      <c r="D78" s="21"/>
    </row>
    <row r="79" spans="1:18" ht="25.8" customHeight="1" x14ac:dyDescent="0.25">
      <c r="A79" s="21"/>
      <c r="B79" s="21"/>
      <c r="C79" s="21"/>
      <c r="D79" s="21"/>
    </row>
    <row r="80" spans="1:18" ht="25.8" customHeight="1" x14ac:dyDescent="0.25">
      <c r="A80" s="21"/>
      <c r="B80" s="21"/>
      <c r="C80" s="21"/>
      <c r="D80" s="21"/>
    </row>
    <row r="81" spans="1:4" ht="25.8" customHeight="1" x14ac:dyDescent="0.25">
      <c r="A81" s="21"/>
      <c r="B81" s="21"/>
      <c r="C81" s="21"/>
      <c r="D81" s="21"/>
    </row>
    <row r="82" spans="1:4" ht="25.8" customHeight="1" x14ac:dyDescent="0.25">
      <c r="A82" s="21"/>
      <c r="B82" s="21"/>
      <c r="C82" s="21"/>
      <c r="D82" s="21"/>
    </row>
    <row r="83" spans="1:4" ht="25.8" customHeight="1" x14ac:dyDescent="0.25">
      <c r="A83" s="21"/>
      <c r="B83" s="21"/>
      <c r="C83" s="21"/>
      <c r="D83" s="21"/>
    </row>
    <row r="84" spans="1:4" ht="25.8" customHeight="1" x14ac:dyDescent="0.25">
      <c r="A84" s="21"/>
      <c r="B84" s="21"/>
      <c r="C84" s="21"/>
      <c r="D84" s="21"/>
    </row>
    <row r="85" spans="1:4" ht="25.8" customHeight="1" x14ac:dyDescent="0.25">
      <c r="A85" s="21"/>
      <c r="B85" s="21"/>
      <c r="C85" s="21"/>
      <c r="D85" s="21"/>
    </row>
    <row r="86" spans="1:4" ht="25.8" customHeight="1" x14ac:dyDescent="0.25">
      <c r="A86" s="21"/>
      <c r="B86" s="21"/>
      <c r="C86" s="21"/>
      <c r="D86" s="21"/>
    </row>
    <row r="87" spans="1:4" ht="25.8" customHeight="1" x14ac:dyDescent="0.25">
      <c r="A87" s="21"/>
      <c r="B87" s="21"/>
      <c r="C87" s="21"/>
      <c r="D87" s="21"/>
    </row>
    <row r="88" spans="1:4" ht="25.8" customHeight="1" x14ac:dyDescent="0.25">
      <c r="A88" s="21"/>
      <c r="B88" s="21"/>
      <c r="C88" s="21"/>
      <c r="D88" s="21"/>
    </row>
    <row r="89" spans="1:4" ht="25.8" customHeight="1" x14ac:dyDescent="0.25">
      <c r="A89" s="21"/>
      <c r="B89" s="21"/>
      <c r="C89" s="21"/>
      <c r="D89" s="21"/>
    </row>
    <row r="90" spans="1:4" ht="25.8" customHeight="1" x14ac:dyDescent="0.25">
      <c r="A90" s="21"/>
      <c r="B90" s="21"/>
      <c r="C90" s="21"/>
      <c r="D90" s="21"/>
    </row>
    <row r="91" spans="1:4" ht="25.8" customHeight="1" x14ac:dyDescent="0.25">
      <c r="A91" s="21"/>
      <c r="B91" s="21"/>
      <c r="C91" s="21"/>
      <c r="D91" s="21"/>
    </row>
    <row r="92" spans="1:4" ht="25.8" customHeight="1" x14ac:dyDescent="0.25">
      <c r="A92" s="21"/>
      <c r="B92" s="21"/>
      <c r="C92" s="21"/>
      <c r="D92" s="21"/>
    </row>
    <row r="93" spans="1:4" ht="25.8" customHeight="1" x14ac:dyDescent="0.25">
      <c r="A93" s="21"/>
      <c r="B93" s="21"/>
      <c r="C93" s="21"/>
      <c r="D93" s="21"/>
    </row>
    <row r="94" spans="1:4" ht="25.8" customHeight="1" x14ac:dyDescent="0.25">
      <c r="A94" s="21"/>
      <c r="B94" s="21"/>
      <c r="C94" s="21"/>
      <c r="D94" s="21"/>
    </row>
    <row r="95" spans="1:4" ht="25.8" customHeight="1" x14ac:dyDescent="0.25">
      <c r="A95" s="21"/>
      <c r="B95" s="21"/>
      <c r="C95" s="21"/>
      <c r="D95" s="21"/>
    </row>
    <row r="96" spans="1:4" ht="25.8" customHeight="1" x14ac:dyDescent="0.25">
      <c r="A96" s="21"/>
      <c r="B96" s="21"/>
      <c r="C96" s="21"/>
      <c r="D96" s="21"/>
    </row>
    <row r="97" spans="1:4" ht="25.8" customHeight="1" x14ac:dyDescent="0.25">
      <c r="A97" s="21"/>
      <c r="B97" s="21"/>
      <c r="C97" s="21"/>
      <c r="D97" s="21"/>
    </row>
    <row r="98" spans="1:4" ht="25.8" customHeight="1" x14ac:dyDescent="0.25">
      <c r="A98" s="21"/>
      <c r="B98" s="21"/>
      <c r="C98" s="21"/>
      <c r="D98" s="21"/>
    </row>
    <row r="99" spans="1:4" ht="25.8" customHeight="1" x14ac:dyDescent="0.25">
      <c r="A99" s="21"/>
      <c r="B99" s="21"/>
      <c r="C99" s="21"/>
      <c r="D99" s="21"/>
    </row>
    <row r="100" spans="1:4" ht="25.8" customHeight="1" x14ac:dyDescent="0.25">
      <c r="A100" s="21"/>
      <c r="B100" s="21"/>
      <c r="C100" s="21"/>
      <c r="D100" s="21"/>
    </row>
    <row r="101" spans="1:4" ht="25.8" customHeight="1" x14ac:dyDescent="0.25">
      <c r="A101" s="21"/>
      <c r="B101" s="21"/>
      <c r="C101" s="21"/>
      <c r="D101" s="21"/>
    </row>
    <row r="102" spans="1:4" ht="25.8" customHeight="1" x14ac:dyDescent="0.25">
      <c r="A102" s="21"/>
      <c r="B102" s="21"/>
      <c r="C102" s="21"/>
      <c r="D102" s="21"/>
    </row>
    <row r="103" spans="1:4" ht="25.8" customHeight="1" x14ac:dyDescent="0.25">
      <c r="A103" s="21"/>
      <c r="B103" s="21"/>
      <c r="C103" s="21"/>
      <c r="D103" s="21"/>
    </row>
    <row r="104" spans="1:4" ht="25.8" customHeight="1" x14ac:dyDescent="0.25">
      <c r="A104" s="21"/>
      <c r="B104" s="21"/>
      <c r="C104" s="21"/>
      <c r="D104" s="21"/>
    </row>
    <row r="105" spans="1:4" ht="25.8" customHeight="1" x14ac:dyDescent="0.25">
      <c r="A105" s="21"/>
      <c r="B105" s="21"/>
      <c r="C105" s="21"/>
      <c r="D105" s="21"/>
    </row>
    <row r="106" spans="1:4" ht="25.8" customHeight="1" x14ac:dyDescent="0.25">
      <c r="A106" s="21"/>
      <c r="B106" s="21"/>
      <c r="C106" s="21"/>
      <c r="D106" s="21"/>
    </row>
    <row r="107" spans="1:4" ht="25.8" customHeight="1" x14ac:dyDescent="0.25">
      <c r="A107" s="21"/>
      <c r="B107" s="21"/>
      <c r="C107" s="21"/>
      <c r="D107" s="21"/>
    </row>
    <row r="108" spans="1:4" ht="25.8" customHeight="1" x14ac:dyDescent="0.25">
      <c r="A108" s="21"/>
      <c r="B108" s="21"/>
      <c r="C108" s="21"/>
      <c r="D108" s="21"/>
    </row>
    <row r="109" spans="1:4" ht="25.8" customHeight="1" x14ac:dyDescent="0.25">
      <c r="A109" s="21"/>
      <c r="B109" s="21"/>
      <c r="C109" s="21"/>
      <c r="D109" s="21"/>
    </row>
    <row r="110" spans="1:4" ht="25.8" customHeight="1" x14ac:dyDescent="0.25">
      <c r="A110" s="21"/>
      <c r="B110" s="21"/>
      <c r="C110" s="21"/>
      <c r="D110" s="21"/>
    </row>
    <row r="111" spans="1:4" ht="25.8" customHeight="1" x14ac:dyDescent="0.25">
      <c r="A111" s="21"/>
      <c r="B111" s="21"/>
      <c r="C111" s="21"/>
      <c r="D111" s="21"/>
    </row>
    <row r="112" spans="1:4" ht="25.8" customHeight="1" x14ac:dyDescent="0.25">
      <c r="A112" s="21"/>
      <c r="B112" s="21"/>
      <c r="C112" s="21"/>
      <c r="D112" s="21"/>
    </row>
    <row r="113" spans="1:4" ht="25.8" customHeight="1" x14ac:dyDescent="0.25">
      <c r="A113" s="21"/>
      <c r="B113" s="21"/>
      <c r="C113" s="21"/>
      <c r="D113" s="21"/>
    </row>
    <row r="114" spans="1:4" ht="25.8" customHeight="1" x14ac:dyDescent="0.25">
      <c r="A114" s="21"/>
      <c r="B114" s="21"/>
      <c r="C114" s="21"/>
      <c r="D114" s="21"/>
    </row>
    <row r="115" spans="1:4" ht="25.8" customHeight="1" x14ac:dyDescent="0.25">
      <c r="A115" s="21"/>
      <c r="B115" s="21"/>
      <c r="C115" s="21"/>
      <c r="D115" s="21"/>
    </row>
    <row r="116" spans="1:4" ht="25.8" customHeight="1" x14ac:dyDescent="0.25">
      <c r="A116" s="21"/>
      <c r="B116" s="21"/>
      <c r="C116" s="21"/>
      <c r="D116" s="21"/>
    </row>
    <row r="117" spans="1:4" ht="25.8" customHeight="1" x14ac:dyDescent="0.25">
      <c r="A117" s="21"/>
      <c r="B117" s="21"/>
      <c r="C117" s="21"/>
      <c r="D117" s="21"/>
    </row>
    <row r="118" spans="1:4" ht="25.8" customHeight="1" x14ac:dyDescent="0.25">
      <c r="A118" s="21"/>
      <c r="B118" s="21"/>
      <c r="C118" s="21"/>
      <c r="D118" s="21"/>
    </row>
    <row r="119" spans="1:4" ht="25.8" customHeight="1" x14ac:dyDescent="0.25">
      <c r="A119" s="21"/>
      <c r="B119" s="21"/>
      <c r="C119" s="21"/>
      <c r="D119" s="21"/>
    </row>
    <row r="120" spans="1:4" ht="25.8" customHeight="1" x14ac:dyDescent="0.25">
      <c r="A120" s="21"/>
      <c r="B120" s="21"/>
      <c r="C120" s="21"/>
      <c r="D120" s="21"/>
    </row>
    <row r="121" spans="1:4" ht="25.8" customHeight="1" x14ac:dyDescent="0.25">
      <c r="A121" s="21"/>
      <c r="B121" s="21"/>
      <c r="C121" s="21"/>
      <c r="D121" s="21"/>
    </row>
    <row r="122" spans="1:4" ht="25.8" customHeight="1" x14ac:dyDescent="0.25">
      <c r="A122" s="21"/>
      <c r="B122" s="21"/>
      <c r="C122" s="21"/>
      <c r="D122" s="21"/>
    </row>
    <row r="123" spans="1:4" ht="25.8" customHeight="1" x14ac:dyDescent="0.25">
      <c r="A123" s="21"/>
      <c r="B123" s="21"/>
      <c r="C123" s="21"/>
      <c r="D123" s="21"/>
    </row>
    <row r="124" spans="1:4" ht="25.8" customHeight="1" x14ac:dyDescent="0.25">
      <c r="A124" s="21"/>
      <c r="B124" s="21"/>
      <c r="C124" s="21"/>
      <c r="D124" s="21"/>
    </row>
    <row r="125" spans="1:4" ht="25.8" customHeight="1" x14ac:dyDescent="0.25">
      <c r="A125" s="21"/>
      <c r="B125" s="21"/>
      <c r="C125" s="21"/>
      <c r="D125" s="21"/>
    </row>
    <row r="126" spans="1:4" ht="25.8" customHeight="1" x14ac:dyDescent="0.25">
      <c r="A126" s="21"/>
      <c r="B126" s="21"/>
      <c r="C126" s="21"/>
      <c r="D126" s="21"/>
    </row>
    <row r="127" spans="1:4" ht="25.8" customHeight="1" x14ac:dyDescent="0.25">
      <c r="A127" s="21"/>
      <c r="B127" s="21"/>
      <c r="C127" s="21"/>
      <c r="D127" s="21"/>
    </row>
    <row r="128" spans="1:4" ht="25.8" customHeight="1" x14ac:dyDescent="0.25">
      <c r="A128" s="21"/>
      <c r="B128" s="21"/>
      <c r="C128" s="21"/>
      <c r="D128" s="21"/>
    </row>
    <row r="129" spans="1:4" ht="25.8" customHeight="1" x14ac:dyDescent="0.25">
      <c r="A129" s="21"/>
      <c r="B129" s="21"/>
      <c r="C129" s="21"/>
      <c r="D129" s="21"/>
    </row>
    <row r="130" spans="1:4" ht="25.8" customHeight="1" x14ac:dyDescent="0.25">
      <c r="A130" s="21"/>
      <c r="B130" s="21"/>
      <c r="C130" s="21"/>
      <c r="D130" s="21"/>
    </row>
    <row r="131" spans="1:4" ht="25.8" customHeight="1" x14ac:dyDescent="0.25">
      <c r="A131" s="21"/>
      <c r="B131" s="21"/>
      <c r="C131" s="21"/>
      <c r="D131" s="21"/>
    </row>
    <row r="132" spans="1:4" ht="25.8" customHeight="1" x14ac:dyDescent="0.25">
      <c r="A132" s="21"/>
      <c r="B132" s="21"/>
      <c r="C132" s="21"/>
      <c r="D132" s="21"/>
    </row>
    <row r="133" spans="1:4" ht="25.8" customHeight="1" x14ac:dyDescent="0.25">
      <c r="A133" s="21"/>
      <c r="B133" s="21"/>
      <c r="C133" s="21"/>
      <c r="D133" s="21"/>
    </row>
    <row r="134" spans="1:4" ht="25.8" customHeight="1" x14ac:dyDescent="0.25">
      <c r="A134" s="21"/>
      <c r="B134" s="21"/>
      <c r="C134" s="21"/>
      <c r="D134" s="21"/>
    </row>
    <row r="135" spans="1:4" ht="25.8" customHeight="1" x14ac:dyDescent="0.25">
      <c r="A135" s="21"/>
      <c r="B135" s="21"/>
      <c r="C135" s="21"/>
      <c r="D135" s="21"/>
    </row>
    <row r="136" spans="1:4" ht="25.8" customHeight="1" x14ac:dyDescent="0.25">
      <c r="A136" s="21"/>
      <c r="B136" s="21"/>
      <c r="C136" s="21"/>
      <c r="D136" s="21"/>
    </row>
    <row r="137" spans="1:4" ht="25.8" customHeight="1" x14ac:dyDescent="0.25">
      <c r="A137" s="21"/>
      <c r="B137" s="21"/>
      <c r="C137" s="21"/>
      <c r="D137" s="21"/>
    </row>
    <row r="138" spans="1:4" ht="25.8" customHeight="1" x14ac:dyDescent="0.25">
      <c r="A138" s="21"/>
      <c r="B138" s="21"/>
      <c r="C138" s="21"/>
      <c r="D138" s="21"/>
    </row>
    <row r="139" spans="1:4" ht="25.8" customHeight="1" x14ac:dyDescent="0.25">
      <c r="A139" s="21"/>
      <c r="B139" s="21"/>
      <c r="C139" s="21"/>
      <c r="D139" s="21"/>
    </row>
    <row r="140" spans="1:4" ht="25.8" customHeight="1" x14ac:dyDescent="0.25">
      <c r="A140" s="21"/>
      <c r="B140" s="21"/>
      <c r="C140" s="21"/>
      <c r="D140" s="21"/>
    </row>
    <row r="141" spans="1:4" ht="25.8" customHeight="1" x14ac:dyDescent="0.25">
      <c r="A141" s="21"/>
      <c r="B141" s="21"/>
      <c r="C141" s="21"/>
      <c r="D141" s="21"/>
    </row>
    <row r="142" spans="1:4" ht="25.8" customHeight="1" x14ac:dyDescent="0.25">
      <c r="A142" s="21"/>
      <c r="B142" s="21"/>
      <c r="C142" s="21"/>
      <c r="D142" s="21"/>
    </row>
    <row r="143" spans="1:4" ht="25.8" customHeight="1" x14ac:dyDescent="0.25">
      <c r="A143" s="21"/>
      <c r="B143" s="21"/>
      <c r="C143" s="21"/>
      <c r="D143" s="21"/>
    </row>
    <row r="144" spans="1:4" ht="25.8" customHeight="1" x14ac:dyDescent="0.25">
      <c r="A144" s="21"/>
      <c r="B144" s="21"/>
      <c r="C144" s="21"/>
      <c r="D144" s="21"/>
    </row>
    <row r="145" spans="1:4" ht="25.8" customHeight="1" x14ac:dyDescent="0.25">
      <c r="A145" s="21"/>
      <c r="B145" s="21"/>
      <c r="C145" s="21"/>
      <c r="D145" s="21"/>
    </row>
    <row r="146" spans="1:4" ht="25.8" customHeight="1" x14ac:dyDescent="0.25">
      <c r="A146" s="21"/>
      <c r="B146" s="21"/>
      <c r="C146" s="21"/>
      <c r="D146" s="21"/>
    </row>
    <row r="147" spans="1:4" ht="25.8" customHeight="1" x14ac:dyDescent="0.25">
      <c r="A147" s="21"/>
      <c r="B147" s="21"/>
      <c r="C147" s="21"/>
      <c r="D147" s="21"/>
    </row>
    <row r="148" spans="1:4" ht="25.8" customHeight="1" x14ac:dyDescent="0.25">
      <c r="A148" s="21"/>
      <c r="B148" s="21"/>
      <c r="C148" s="21"/>
      <c r="D148" s="21"/>
    </row>
    <row r="149" spans="1:4" ht="25.8" customHeight="1" x14ac:dyDescent="0.25">
      <c r="A149" s="21"/>
      <c r="B149" s="21"/>
      <c r="C149" s="21"/>
      <c r="D149" s="21"/>
    </row>
    <row r="150" spans="1:4" ht="25.8" customHeight="1" x14ac:dyDescent="0.25">
      <c r="A150" s="21"/>
      <c r="B150" s="21"/>
      <c r="C150" s="21"/>
      <c r="D150" s="21"/>
    </row>
    <row r="151" spans="1:4" ht="25.8" customHeight="1" x14ac:dyDescent="0.25">
      <c r="A151" s="21"/>
      <c r="B151" s="21"/>
      <c r="C151" s="21"/>
      <c r="D151" s="21"/>
    </row>
    <row r="152" spans="1:4" ht="25.8" customHeight="1" x14ac:dyDescent="0.25">
      <c r="A152" s="21"/>
      <c r="B152" s="21"/>
      <c r="C152" s="21"/>
      <c r="D152" s="21"/>
    </row>
    <row r="153" spans="1:4" ht="25.8" customHeight="1" x14ac:dyDescent="0.25">
      <c r="A153" s="21"/>
      <c r="B153" s="21"/>
      <c r="C153" s="21"/>
      <c r="D153" s="21"/>
    </row>
    <row r="154" spans="1:4" ht="25.8" customHeight="1" x14ac:dyDescent="0.25">
      <c r="A154" s="21"/>
      <c r="B154" s="21"/>
      <c r="C154" s="21"/>
      <c r="D154" s="21"/>
    </row>
    <row r="155" spans="1:4" ht="25.8" customHeight="1" x14ac:dyDescent="0.25">
      <c r="A155" s="21"/>
      <c r="B155" s="21"/>
      <c r="C155" s="21"/>
      <c r="D155" s="21"/>
    </row>
    <row r="156" spans="1:4" ht="25.8" customHeight="1" x14ac:dyDescent="0.25">
      <c r="A156" s="21"/>
      <c r="B156" s="21"/>
      <c r="C156" s="21"/>
      <c r="D156" s="21"/>
    </row>
    <row r="157" spans="1:4" ht="25.8" customHeight="1" x14ac:dyDescent="0.25">
      <c r="A157" s="21"/>
      <c r="B157" s="21"/>
      <c r="C157" s="21"/>
      <c r="D157" s="21"/>
    </row>
    <row r="158" spans="1:4" ht="25.8" customHeight="1" x14ac:dyDescent="0.25">
      <c r="A158" s="21"/>
      <c r="B158" s="21"/>
      <c r="C158" s="21"/>
      <c r="D158" s="21"/>
    </row>
    <row r="159" spans="1:4" ht="25.8" customHeight="1" x14ac:dyDescent="0.25">
      <c r="A159" s="21"/>
      <c r="B159" s="21"/>
      <c r="C159" s="21"/>
      <c r="D159" s="21"/>
    </row>
    <row r="160" spans="1:4" ht="25.8" customHeight="1" x14ac:dyDescent="0.25">
      <c r="A160" s="21"/>
      <c r="B160" s="21"/>
      <c r="C160" s="21"/>
      <c r="D160" s="21"/>
    </row>
    <row r="161" spans="1:4" ht="25.8" customHeight="1" x14ac:dyDescent="0.25">
      <c r="A161" s="21"/>
      <c r="B161" s="21"/>
      <c r="C161" s="21"/>
      <c r="D161" s="21"/>
    </row>
    <row r="162" spans="1:4" ht="25.8" customHeight="1" x14ac:dyDescent="0.25">
      <c r="A162" s="21"/>
      <c r="B162" s="21"/>
      <c r="C162" s="21"/>
      <c r="D162" s="21"/>
    </row>
    <row r="163" spans="1:4" ht="25.8" customHeight="1" x14ac:dyDescent="0.25">
      <c r="A163" s="21"/>
      <c r="B163" s="21"/>
      <c r="C163" s="21"/>
      <c r="D163" s="21"/>
    </row>
    <row r="164" spans="1:4" ht="25.8" customHeight="1" x14ac:dyDescent="0.25">
      <c r="A164" s="21"/>
      <c r="B164" s="21"/>
      <c r="C164" s="21"/>
      <c r="D164" s="21"/>
    </row>
    <row r="165" spans="1:4" ht="25.8" customHeight="1" x14ac:dyDescent="0.25">
      <c r="A165" s="21"/>
      <c r="B165" s="21"/>
      <c r="C165" s="21"/>
      <c r="D165" s="21"/>
    </row>
    <row r="166" spans="1:4" ht="25.8" customHeight="1" x14ac:dyDescent="0.25">
      <c r="A166" s="21"/>
      <c r="B166" s="21"/>
      <c r="C166" s="21"/>
      <c r="D166" s="21"/>
    </row>
    <row r="167" spans="1:4" ht="25.8" customHeight="1" x14ac:dyDescent="0.25">
      <c r="A167" s="21"/>
      <c r="B167" s="21"/>
      <c r="C167" s="21"/>
      <c r="D167" s="21"/>
    </row>
    <row r="168" spans="1:4" ht="25.8" customHeight="1" x14ac:dyDescent="0.25">
      <c r="A168" s="21"/>
      <c r="B168" s="21"/>
      <c r="C168" s="21"/>
      <c r="D168" s="21"/>
    </row>
    <row r="169" spans="1:4" ht="25.8" customHeight="1" x14ac:dyDescent="0.25">
      <c r="A169" s="21"/>
      <c r="B169" s="21"/>
      <c r="C169" s="21"/>
      <c r="D169" s="21"/>
    </row>
    <row r="170" spans="1:4" ht="25.8" customHeight="1" x14ac:dyDescent="0.25">
      <c r="A170" s="21"/>
      <c r="B170" s="21"/>
      <c r="C170" s="21"/>
      <c r="D170" s="21"/>
    </row>
    <row r="171" spans="1:4" ht="25.8" customHeight="1" x14ac:dyDescent="0.25">
      <c r="A171" s="21"/>
      <c r="B171" s="21"/>
      <c r="C171" s="21"/>
      <c r="D171" s="21"/>
    </row>
    <row r="172" spans="1:4" ht="25.8" customHeight="1" x14ac:dyDescent="0.25">
      <c r="A172" s="21"/>
      <c r="B172" s="21"/>
      <c r="C172" s="21"/>
      <c r="D172" s="21"/>
    </row>
    <row r="173" spans="1:4" ht="25.8" customHeight="1" x14ac:dyDescent="0.25">
      <c r="A173" s="21"/>
      <c r="B173" s="21"/>
      <c r="C173" s="21"/>
      <c r="D173" s="21"/>
    </row>
    <row r="174" spans="1:4" ht="25.8" customHeight="1" x14ac:dyDescent="0.25">
      <c r="A174" s="21"/>
      <c r="B174" s="21"/>
      <c r="C174" s="21"/>
      <c r="D174" s="21"/>
    </row>
    <row r="175" spans="1:4" ht="25.8" customHeight="1" x14ac:dyDescent="0.25">
      <c r="A175" s="21"/>
      <c r="B175" s="21"/>
      <c r="C175" s="21"/>
      <c r="D175" s="21"/>
    </row>
    <row r="176" spans="1:4" ht="25.8" customHeight="1" x14ac:dyDescent="0.25">
      <c r="A176" s="21"/>
      <c r="B176" s="21"/>
      <c r="C176" s="21"/>
      <c r="D176" s="21"/>
    </row>
    <row r="177" spans="1:4" ht="25.8" customHeight="1" x14ac:dyDescent="0.25">
      <c r="A177" s="21"/>
      <c r="B177" s="21"/>
      <c r="C177" s="21"/>
      <c r="D177" s="21"/>
    </row>
    <row r="178" spans="1:4" ht="25.8" customHeight="1" x14ac:dyDescent="0.25">
      <c r="A178" s="21"/>
      <c r="B178" s="21"/>
      <c r="C178" s="21"/>
      <c r="D178" s="21"/>
    </row>
    <row r="179" spans="1:4" ht="25.8" customHeight="1" x14ac:dyDescent="0.25">
      <c r="A179" s="21"/>
      <c r="B179" s="21"/>
      <c r="C179" s="21"/>
      <c r="D179" s="21"/>
    </row>
    <row r="180" spans="1:4" ht="25.8" customHeight="1" x14ac:dyDescent="0.25">
      <c r="A180" s="21"/>
      <c r="B180" s="21"/>
      <c r="C180" s="21"/>
      <c r="D180" s="21"/>
    </row>
    <row r="181" spans="1:4" ht="25.8" customHeight="1" x14ac:dyDescent="0.25">
      <c r="A181" s="21"/>
      <c r="B181" s="21"/>
      <c r="C181" s="21"/>
      <c r="D181" s="21"/>
    </row>
    <row r="182" spans="1:4" ht="25.8" customHeight="1" x14ac:dyDescent="0.25">
      <c r="A182" s="21"/>
      <c r="B182" s="21"/>
      <c r="C182" s="21"/>
      <c r="D182" s="21"/>
    </row>
    <row r="183" spans="1:4" ht="25.8" customHeight="1" x14ac:dyDescent="0.25">
      <c r="A183" s="21"/>
      <c r="B183" s="21"/>
      <c r="C183" s="21"/>
      <c r="D183" s="21"/>
    </row>
    <row r="184" spans="1:4" ht="25.8" customHeight="1" x14ac:dyDescent="0.25">
      <c r="A184" s="21"/>
      <c r="B184" s="21"/>
      <c r="C184" s="21"/>
      <c r="D184" s="21"/>
    </row>
    <row r="185" spans="1:4" ht="25.8" customHeight="1" x14ac:dyDescent="0.25">
      <c r="A185" s="21"/>
      <c r="B185" s="21"/>
      <c r="C185" s="21"/>
      <c r="D185" s="21"/>
    </row>
    <row r="186" spans="1:4" ht="25.8" customHeight="1" x14ac:dyDescent="0.25">
      <c r="A186" s="21"/>
      <c r="B186" s="21"/>
      <c r="C186" s="21"/>
      <c r="D186" s="21"/>
    </row>
    <row r="187" spans="1:4" ht="25.8" customHeight="1" x14ac:dyDescent="0.25">
      <c r="A187" s="21"/>
      <c r="B187" s="21"/>
      <c r="C187" s="21"/>
      <c r="D187" s="21"/>
    </row>
    <row r="188" spans="1:4" ht="25.8" customHeight="1" x14ac:dyDescent="0.25">
      <c r="A188" s="21"/>
      <c r="B188" s="21"/>
      <c r="C188" s="21"/>
      <c r="D188" s="21"/>
    </row>
    <row r="189" spans="1:4" ht="25.8" customHeight="1" x14ac:dyDescent="0.25">
      <c r="A189" s="21"/>
      <c r="B189" s="21"/>
      <c r="C189" s="21"/>
      <c r="D189" s="21"/>
    </row>
    <row r="190" spans="1:4" ht="25.8" customHeight="1" x14ac:dyDescent="0.25">
      <c r="A190" s="21"/>
      <c r="B190" s="21"/>
      <c r="C190" s="21"/>
      <c r="D190" s="21"/>
    </row>
    <row r="191" spans="1:4" ht="25.8" customHeight="1" x14ac:dyDescent="0.25">
      <c r="A191" s="21"/>
      <c r="B191" s="21"/>
      <c r="C191" s="21"/>
      <c r="D191" s="21"/>
    </row>
    <row r="192" spans="1:4" ht="25.8" customHeight="1" x14ac:dyDescent="0.25">
      <c r="A192" s="21"/>
      <c r="B192" s="21"/>
      <c r="C192" s="21"/>
      <c r="D192" s="21"/>
    </row>
    <row r="193" spans="1:4" ht="25.8" customHeight="1" x14ac:dyDescent="0.25">
      <c r="A193" s="21"/>
      <c r="B193" s="21"/>
      <c r="C193" s="21"/>
      <c r="D193" s="21"/>
    </row>
    <row r="194" spans="1:4" ht="25.8" customHeight="1" x14ac:dyDescent="0.25">
      <c r="A194" s="21"/>
      <c r="B194" s="21"/>
      <c r="C194" s="21"/>
      <c r="D194" s="21"/>
    </row>
    <row r="195" spans="1:4" ht="25.8" customHeight="1" x14ac:dyDescent="0.25">
      <c r="A195" s="21"/>
      <c r="B195" s="21"/>
      <c r="C195" s="21"/>
      <c r="D195" s="21"/>
    </row>
    <row r="196" spans="1:4" ht="25.8" customHeight="1" x14ac:dyDescent="0.25">
      <c r="A196" s="21"/>
      <c r="B196" s="21"/>
      <c r="C196" s="21"/>
      <c r="D196" s="21"/>
    </row>
    <row r="197" spans="1:4" ht="25.8" customHeight="1" x14ac:dyDescent="0.25">
      <c r="A197" s="21"/>
      <c r="B197" s="21"/>
      <c r="C197" s="21"/>
      <c r="D197" s="21"/>
    </row>
    <row r="198" spans="1:4" ht="25.8" customHeight="1" x14ac:dyDescent="0.25">
      <c r="A198" s="21"/>
      <c r="B198" s="21"/>
      <c r="C198" s="21"/>
      <c r="D198" s="21"/>
    </row>
    <row r="199" spans="1:4" ht="25.8" customHeight="1" x14ac:dyDescent="0.25">
      <c r="A199" s="21"/>
      <c r="B199" s="21"/>
      <c r="C199" s="21"/>
      <c r="D199" s="21"/>
    </row>
    <row r="200" spans="1:4" ht="25.8" customHeight="1" x14ac:dyDescent="0.25">
      <c r="A200" s="21"/>
      <c r="B200" s="21"/>
      <c r="C200" s="21"/>
      <c r="D200" s="21"/>
    </row>
    <row r="201" spans="1:4" ht="25.8" customHeight="1" x14ac:dyDescent="0.25">
      <c r="A201" s="21"/>
      <c r="B201" s="21"/>
      <c r="C201" s="21"/>
      <c r="D201" s="21"/>
    </row>
    <row r="202" spans="1:4" ht="25.8" customHeight="1" x14ac:dyDescent="0.25">
      <c r="A202" s="21"/>
      <c r="B202" s="21"/>
      <c r="C202" s="21"/>
      <c r="D202" s="21"/>
    </row>
    <row r="203" spans="1:4" ht="25.8" customHeight="1" x14ac:dyDescent="0.25">
      <c r="A203" s="21"/>
      <c r="B203" s="21"/>
      <c r="C203" s="21"/>
      <c r="D203" s="21"/>
    </row>
    <row r="204" spans="1:4" ht="25.8" customHeight="1" x14ac:dyDescent="0.25">
      <c r="A204" s="21"/>
      <c r="B204" s="21"/>
      <c r="C204" s="21"/>
      <c r="D204" s="21"/>
    </row>
    <row r="205" spans="1:4" ht="25.8" customHeight="1" x14ac:dyDescent="0.25">
      <c r="A205" s="21"/>
      <c r="B205" s="21"/>
      <c r="C205" s="21"/>
      <c r="D205" s="21"/>
    </row>
    <row r="206" spans="1:4" ht="25.8" customHeight="1" x14ac:dyDescent="0.25">
      <c r="A206" s="21"/>
      <c r="B206" s="21"/>
      <c r="C206" s="21"/>
      <c r="D206" s="21"/>
    </row>
    <row r="207" spans="1:4" ht="25.8" customHeight="1" x14ac:dyDescent="0.25">
      <c r="A207" s="21"/>
      <c r="B207" s="21"/>
      <c r="C207" s="21"/>
      <c r="D207" s="21"/>
    </row>
    <row r="208" spans="1:4" ht="25.8" customHeight="1" x14ac:dyDescent="0.25">
      <c r="A208" s="21"/>
      <c r="B208" s="21"/>
      <c r="C208" s="21"/>
      <c r="D208" s="21"/>
    </row>
    <row r="209" spans="1:4" ht="25.8" customHeight="1" x14ac:dyDescent="0.25">
      <c r="A209" s="21"/>
      <c r="B209" s="21"/>
      <c r="C209" s="21"/>
      <c r="D209" s="21"/>
    </row>
    <row r="210" spans="1:4" ht="25.8" customHeight="1" x14ac:dyDescent="0.25">
      <c r="A210" s="21"/>
      <c r="B210" s="21"/>
      <c r="C210" s="21"/>
      <c r="D210" s="21"/>
    </row>
    <row r="211" spans="1:4" ht="25.8" customHeight="1" x14ac:dyDescent="0.25">
      <c r="A211" s="21"/>
      <c r="B211" s="21"/>
      <c r="C211" s="21"/>
      <c r="D211" s="21"/>
    </row>
    <row r="212" spans="1:4" ht="25.8" customHeight="1" x14ac:dyDescent="0.25">
      <c r="A212" s="21"/>
      <c r="B212" s="21"/>
      <c r="C212" s="21"/>
      <c r="D212" s="21"/>
    </row>
    <row r="213" spans="1:4" ht="25.8" customHeight="1" x14ac:dyDescent="0.25">
      <c r="A213" s="21"/>
      <c r="B213" s="21"/>
      <c r="C213" s="21"/>
      <c r="D213" s="21"/>
    </row>
    <row r="214" spans="1:4" ht="25.8" customHeight="1" x14ac:dyDescent="0.25">
      <c r="A214" s="21"/>
      <c r="B214" s="21"/>
      <c r="C214" s="21"/>
      <c r="D214" s="21"/>
    </row>
    <row r="215" spans="1:4" ht="25.8" customHeight="1" x14ac:dyDescent="0.25">
      <c r="A215" s="21"/>
      <c r="B215" s="21"/>
      <c r="C215" s="21"/>
      <c r="D215" s="21"/>
    </row>
    <row r="216" spans="1:4" ht="25.8" customHeight="1" x14ac:dyDescent="0.25">
      <c r="A216" s="21"/>
      <c r="B216" s="21"/>
      <c r="C216" s="21"/>
      <c r="D216" s="21"/>
    </row>
    <row r="217" spans="1:4" ht="25.8" customHeight="1" x14ac:dyDescent="0.25">
      <c r="A217" s="21"/>
      <c r="B217" s="21"/>
      <c r="C217" s="21"/>
      <c r="D217" s="21"/>
    </row>
    <row r="218" spans="1:4" ht="25.8" customHeight="1" x14ac:dyDescent="0.25">
      <c r="A218" s="21"/>
      <c r="B218" s="21"/>
      <c r="C218" s="21"/>
      <c r="D218" s="21"/>
    </row>
    <row r="219" spans="1:4" ht="25.8" customHeight="1" x14ac:dyDescent="0.25">
      <c r="A219" s="21"/>
      <c r="B219" s="21"/>
      <c r="C219" s="21"/>
      <c r="D219" s="21"/>
    </row>
    <row r="220" spans="1:4" ht="25.8" customHeight="1" x14ac:dyDescent="0.25">
      <c r="A220" s="21"/>
      <c r="B220" s="21"/>
      <c r="C220" s="21"/>
      <c r="D220" s="21"/>
    </row>
    <row r="221" spans="1:4" ht="25.8" customHeight="1" x14ac:dyDescent="0.25">
      <c r="A221" s="21"/>
      <c r="B221" s="21"/>
      <c r="C221" s="21"/>
      <c r="D221" s="21"/>
    </row>
    <row r="222" spans="1:4" ht="25.8" customHeight="1" x14ac:dyDescent="0.25">
      <c r="A222" s="21"/>
      <c r="B222" s="21"/>
      <c r="C222" s="21"/>
      <c r="D222" s="21"/>
    </row>
    <row r="223" spans="1:4" ht="25.8" customHeight="1" x14ac:dyDescent="0.25">
      <c r="A223" s="21"/>
      <c r="B223" s="21"/>
      <c r="C223" s="21"/>
      <c r="D223" s="21"/>
    </row>
    <row r="224" spans="1:4" ht="25.8" customHeight="1" x14ac:dyDescent="0.25">
      <c r="A224" s="21"/>
      <c r="B224" s="21"/>
      <c r="C224" s="21"/>
      <c r="D224" s="21"/>
    </row>
    <row r="225" spans="1:4" ht="25.8" customHeight="1" x14ac:dyDescent="0.25">
      <c r="A225" s="21"/>
      <c r="B225" s="21"/>
      <c r="C225" s="21"/>
      <c r="D225" s="21"/>
    </row>
    <row r="226" spans="1:4" ht="25.8" customHeight="1" x14ac:dyDescent="0.25">
      <c r="A226" s="21"/>
      <c r="B226" s="21"/>
      <c r="C226" s="21"/>
      <c r="D226" s="21"/>
    </row>
    <row r="227" spans="1:4" ht="25.8" customHeight="1" x14ac:dyDescent="0.25">
      <c r="A227" s="21"/>
      <c r="B227" s="21"/>
      <c r="C227" s="21"/>
      <c r="D227" s="21"/>
    </row>
    <row r="228" spans="1:4" ht="25.8" customHeight="1" x14ac:dyDescent="0.25">
      <c r="A228" s="21"/>
      <c r="B228" s="21"/>
      <c r="C228" s="21"/>
      <c r="D228" s="21"/>
    </row>
  </sheetData>
  <mergeCells count="12">
    <mergeCell ref="A12:G12"/>
    <mergeCell ref="R51:R58"/>
    <mergeCell ref="R59:R63"/>
    <mergeCell ref="R64:R68"/>
    <mergeCell ref="N51:N58"/>
    <mergeCell ref="N59:N63"/>
    <mergeCell ref="N64:N68"/>
    <mergeCell ref="A28:G28"/>
    <mergeCell ref="N48:N49"/>
    <mergeCell ref="R48:R49"/>
    <mergeCell ref="R43:R47"/>
    <mergeCell ref="N43:N47"/>
  </mergeCells>
  <phoneticPr fontId="14" type="noConversion"/>
  <dataValidations count="1">
    <dataValidation type="list" allowBlank="1" showErrorMessage="1" sqref="F14:F25 F30:F40" xr:uid="{00000000-0002-0000-0000-000000000000}">
      <formula1>"Avoid,Mitigate,Accept"</formula1>
    </dataValidation>
  </dataValidations>
  <pageMargins left="0.7" right="0.7" top="0.75" bottom="0.75" header="0" footer="0"/>
  <pageSetup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B87AA-73A7-447D-A9F5-CCC196DD52C8}">
  <sheetPr>
    <outlinePr summaryBelow="0" summaryRight="0"/>
  </sheetPr>
  <dimension ref="A1:AB228"/>
  <sheetViews>
    <sheetView tabSelected="1" topLeftCell="D1" zoomScale="76" zoomScaleNormal="70" workbookViewId="0">
      <selection activeCell="I7" sqref="I7"/>
    </sheetView>
  </sheetViews>
  <sheetFormatPr defaultColWidth="12.6640625" defaultRowHeight="25.8" customHeight="1" x14ac:dyDescent="0.25"/>
  <cols>
    <col min="1" max="1" width="5.77734375" style="20" customWidth="1"/>
    <col min="2" max="2" width="18.5546875" style="20" customWidth="1"/>
    <col min="3" max="3" width="11.21875" style="20" customWidth="1"/>
    <col min="4" max="4" width="15.44140625" style="20" customWidth="1"/>
    <col min="5" max="5" width="73.44140625" style="20" customWidth="1"/>
    <col min="6" max="6" width="10" style="20" customWidth="1"/>
    <col min="7" max="7" width="60.77734375" style="20" customWidth="1"/>
    <col min="8" max="8" width="12.6640625" style="20"/>
    <col min="9" max="9" width="59.44140625" style="20" customWidth="1"/>
    <col min="10" max="10" width="12.6640625" style="20" customWidth="1"/>
    <col min="11" max="11" width="14.33203125" style="20" customWidth="1"/>
    <col min="12" max="13" width="12.6640625" style="20"/>
    <col min="14" max="14" width="16.109375" style="20" customWidth="1"/>
    <col min="15" max="15" width="8.33203125" style="20" customWidth="1"/>
    <col min="16" max="16" width="47.109375" style="20" customWidth="1"/>
    <col min="17" max="17" width="27" style="20" customWidth="1"/>
    <col min="18" max="18" width="23.5546875" style="20" customWidth="1"/>
    <col min="19" max="19" width="12.6640625" style="20"/>
    <col min="20" max="20" width="8.88671875" style="20" customWidth="1"/>
    <col min="21" max="21" width="12.6640625" style="20"/>
    <col min="22" max="22" width="64.44140625" style="20" customWidth="1"/>
    <col min="23" max="24" width="12.6640625" style="20"/>
    <col min="25" max="25" width="75" style="20" customWidth="1"/>
    <col min="26" max="16384" width="12.6640625" style="20"/>
  </cols>
  <sheetData>
    <row r="1" spans="1:28" ht="25.8" customHeight="1" x14ac:dyDescent="0.25">
      <c r="A1" s="91" t="s">
        <v>0</v>
      </c>
      <c r="B1" s="91" t="s">
        <v>1</v>
      </c>
      <c r="C1" s="91" t="s">
        <v>2</v>
      </c>
      <c r="D1" s="91" t="s">
        <v>3</v>
      </c>
      <c r="I1" s="76" t="s">
        <v>4</v>
      </c>
      <c r="J1" s="91" t="s">
        <v>5</v>
      </c>
      <c r="K1" s="76" t="s">
        <v>6</v>
      </c>
      <c r="L1" s="91" t="s">
        <v>111</v>
      </c>
      <c r="M1" s="91" t="s">
        <v>110</v>
      </c>
    </row>
    <row r="2" spans="1:28" ht="25.8" customHeight="1" x14ac:dyDescent="0.25">
      <c r="A2" s="66">
        <v>1</v>
      </c>
      <c r="B2" s="74"/>
      <c r="C2" s="57"/>
      <c r="D2" s="73">
        <v>50</v>
      </c>
      <c r="I2" s="35" t="s">
        <v>92</v>
      </c>
      <c r="J2" s="43">
        <v>1</v>
      </c>
      <c r="K2" s="33" t="s">
        <v>97</v>
      </c>
      <c r="L2" s="72">
        <v>3</v>
      </c>
      <c r="M2" s="71"/>
    </row>
    <row r="3" spans="1:28" ht="25.8" customHeight="1" x14ac:dyDescent="0.25">
      <c r="A3" s="66">
        <v>2</v>
      </c>
      <c r="B3" s="74"/>
      <c r="C3" s="57"/>
      <c r="D3" s="21"/>
      <c r="I3" s="35" t="s">
        <v>124</v>
      </c>
      <c r="J3" s="43">
        <v>0</v>
      </c>
      <c r="K3" s="33" t="s">
        <v>101</v>
      </c>
      <c r="L3" s="22">
        <v>8</v>
      </c>
      <c r="M3" s="22"/>
    </row>
    <row r="4" spans="1:28" ht="25.8" customHeight="1" x14ac:dyDescent="0.25">
      <c r="A4" s="66">
        <v>3</v>
      </c>
      <c r="B4" s="74"/>
      <c r="C4" s="57"/>
      <c r="D4" s="21"/>
      <c r="I4" s="35" t="s">
        <v>125</v>
      </c>
      <c r="J4" s="43">
        <v>0</v>
      </c>
      <c r="K4" s="33" t="s">
        <v>102</v>
      </c>
      <c r="L4" s="22">
        <v>8</v>
      </c>
      <c r="M4" s="22"/>
      <c r="P4" s="77"/>
      <c r="Q4" s="77" t="s">
        <v>109</v>
      </c>
      <c r="R4" s="79"/>
    </row>
    <row r="5" spans="1:28" ht="25.8" customHeight="1" x14ac:dyDescent="0.25">
      <c r="A5" s="66">
        <v>4</v>
      </c>
      <c r="B5" s="74"/>
      <c r="C5" s="57"/>
      <c r="D5" s="21"/>
      <c r="I5" s="35" t="s">
        <v>126</v>
      </c>
      <c r="J5" s="43">
        <v>1</v>
      </c>
      <c r="K5" s="33" t="s">
        <v>103</v>
      </c>
      <c r="L5" s="22">
        <v>2</v>
      </c>
      <c r="M5" s="22"/>
      <c r="P5" s="77" t="s">
        <v>6</v>
      </c>
      <c r="Q5" s="77" t="s">
        <v>108</v>
      </c>
      <c r="R5" s="80" t="s">
        <v>107</v>
      </c>
      <c r="AB5" s="69"/>
    </row>
    <row r="6" spans="1:28" ht="25.8" customHeight="1" x14ac:dyDescent="0.25">
      <c r="A6" s="66">
        <v>5</v>
      </c>
      <c r="B6" s="74"/>
      <c r="C6" s="57"/>
      <c r="D6" s="21"/>
      <c r="I6" s="35" t="s">
        <v>127</v>
      </c>
      <c r="J6" s="43">
        <v>1</v>
      </c>
      <c r="K6" s="33" t="s">
        <v>100</v>
      </c>
      <c r="L6" s="22">
        <v>2</v>
      </c>
      <c r="M6" s="22"/>
      <c r="P6" s="77" t="s">
        <v>102</v>
      </c>
      <c r="Q6" s="81">
        <v>11</v>
      </c>
      <c r="R6" s="82">
        <v>11</v>
      </c>
    </row>
    <row r="7" spans="1:28" ht="25.8" customHeight="1" x14ac:dyDescent="0.25">
      <c r="A7" s="66">
        <v>6</v>
      </c>
      <c r="B7" s="65"/>
      <c r="C7" s="57"/>
      <c r="D7" s="21"/>
      <c r="I7" s="35"/>
      <c r="J7" s="43">
        <v>1</v>
      </c>
      <c r="K7" s="33" t="s">
        <v>97</v>
      </c>
      <c r="L7" s="22"/>
      <c r="M7" s="22"/>
      <c r="P7" s="83" t="s">
        <v>101</v>
      </c>
      <c r="Q7" s="84">
        <v>11</v>
      </c>
      <c r="R7" s="85">
        <v>11</v>
      </c>
    </row>
    <row r="8" spans="1:28" ht="25.8" customHeight="1" x14ac:dyDescent="0.25">
      <c r="A8" s="21"/>
      <c r="B8" s="21"/>
      <c r="C8" s="21"/>
      <c r="D8" s="21"/>
      <c r="I8" s="35"/>
      <c r="J8" s="43">
        <v>1</v>
      </c>
      <c r="K8" s="33" t="s">
        <v>103</v>
      </c>
      <c r="L8" s="22"/>
      <c r="M8" s="22"/>
      <c r="P8" s="83" t="s">
        <v>103</v>
      </c>
      <c r="Q8" s="84">
        <v>11</v>
      </c>
      <c r="R8" s="85">
        <v>11</v>
      </c>
    </row>
    <row r="9" spans="1:28" ht="25.8" customHeight="1" x14ac:dyDescent="0.25">
      <c r="A9" s="21"/>
      <c r="B9" s="21"/>
      <c r="C9" s="21"/>
      <c r="D9" s="21"/>
      <c r="I9" s="35"/>
      <c r="J9" s="43">
        <v>1</v>
      </c>
      <c r="K9" s="33" t="s">
        <v>100</v>
      </c>
      <c r="L9" s="22"/>
      <c r="M9" s="22"/>
      <c r="P9" s="83" t="s">
        <v>97</v>
      </c>
      <c r="Q9" s="84">
        <v>6</v>
      </c>
      <c r="R9" s="85">
        <v>6</v>
      </c>
    </row>
    <row r="10" spans="1:28" ht="25.8" customHeight="1" x14ac:dyDescent="0.25">
      <c r="A10" s="21"/>
      <c r="B10" s="21"/>
      <c r="C10" s="21"/>
      <c r="D10" s="21"/>
      <c r="I10" s="35"/>
      <c r="J10" s="43">
        <v>1</v>
      </c>
      <c r="K10" s="33" t="s">
        <v>101</v>
      </c>
      <c r="L10" s="22"/>
      <c r="M10" s="22"/>
      <c r="P10" s="83" t="s">
        <v>100</v>
      </c>
      <c r="Q10" s="84">
        <v>11</v>
      </c>
      <c r="R10" s="85">
        <v>11</v>
      </c>
    </row>
    <row r="11" spans="1:28" ht="25.8" customHeight="1" x14ac:dyDescent="0.25">
      <c r="A11" s="21"/>
      <c r="B11" s="21"/>
      <c r="C11" s="21"/>
      <c r="D11" s="21"/>
      <c r="I11" s="35"/>
      <c r="J11" s="43">
        <v>1</v>
      </c>
      <c r="K11" s="33" t="s">
        <v>102</v>
      </c>
      <c r="L11" s="22"/>
      <c r="M11" s="22"/>
      <c r="P11" s="86" t="s">
        <v>104</v>
      </c>
      <c r="Q11" s="87">
        <v>50</v>
      </c>
      <c r="R11" s="88">
        <v>50</v>
      </c>
    </row>
    <row r="12" spans="1:28" ht="25.8" customHeight="1" x14ac:dyDescent="0.25">
      <c r="A12" s="96" t="s">
        <v>13</v>
      </c>
      <c r="B12" s="97"/>
      <c r="C12" s="97"/>
      <c r="D12" s="97"/>
      <c r="E12" s="97"/>
      <c r="F12" s="97"/>
      <c r="G12" s="97"/>
      <c r="I12" s="35"/>
      <c r="J12" s="43">
        <v>1</v>
      </c>
      <c r="K12" s="33" t="s">
        <v>103</v>
      </c>
      <c r="L12" s="22"/>
      <c r="M12" s="22"/>
      <c r="P12"/>
      <c r="Q12"/>
      <c r="R12"/>
    </row>
    <row r="13" spans="1:28" ht="25.8" customHeight="1" x14ac:dyDescent="0.25">
      <c r="A13" s="55" t="s">
        <v>14</v>
      </c>
      <c r="B13" s="59" t="s">
        <v>15</v>
      </c>
      <c r="C13" s="59" t="s">
        <v>16</v>
      </c>
      <c r="D13" s="59" t="s">
        <v>17</v>
      </c>
      <c r="E13" s="59" t="s">
        <v>18</v>
      </c>
      <c r="F13" s="60" t="s">
        <v>19</v>
      </c>
      <c r="G13" s="59" t="s">
        <v>20</v>
      </c>
      <c r="I13" s="35"/>
      <c r="J13" s="43">
        <v>1</v>
      </c>
      <c r="K13" s="33" t="s">
        <v>100</v>
      </c>
      <c r="L13" s="22"/>
      <c r="M13" s="22"/>
    </row>
    <row r="14" spans="1:28" ht="25.8" customHeight="1" x14ac:dyDescent="0.25">
      <c r="A14" s="22"/>
      <c r="B14" s="90"/>
      <c r="C14" s="32"/>
      <c r="D14" s="32"/>
      <c r="E14" s="32"/>
      <c r="F14" s="58"/>
      <c r="G14" s="37"/>
      <c r="I14" s="35"/>
      <c r="J14" s="43"/>
      <c r="K14" s="33"/>
      <c r="L14" s="22"/>
      <c r="M14" s="22"/>
    </row>
    <row r="15" spans="1:28" ht="25.8" customHeight="1" x14ac:dyDescent="0.25">
      <c r="A15" s="22"/>
      <c r="B15" s="22"/>
      <c r="C15" s="32"/>
      <c r="D15" s="32"/>
      <c r="E15" s="32"/>
      <c r="F15" s="57"/>
      <c r="G15" s="56"/>
      <c r="I15" s="35"/>
      <c r="J15" s="43"/>
      <c r="K15" s="33"/>
      <c r="L15" s="22"/>
      <c r="M15" s="22"/>
    </row>
    <row r="16" spans="1:28" ht="25.8" customHeight="1" x14ac:dyDescent="0.25">
      <c r="A16" s="22"/>
      <c r="B16" s="22"/>
      <c r="C16" s="32"/>
      <c r="D16" s="32"/>
      <c r="E16" s="32"/>
      <c r="F16" s="39"/>
      <c r="G16" s="29"/>
      <c r="I16" s="35"/>
      <c r="J16" s="43"/>
      <c r="K16" s="33"/>
      <c r="L16" s="22"/>
      <c r="M16" s="22"/>
    </row>
    <row r="17" spans="1:13" ht="25.8" customHeight="1" x14ac:dyDescent="0.25">
      <c r="A17" s="22"/>
      <c r="B17" s="37"/>
      <c r="C17" s="32"/>
      <c r="D17" s="32"/>
      <c r="E17" s="32"/>
      <c r="F17" s="41"/>
      <c r="G17" s="29"/>
      <c r="I17" s="35"/>
      <c r="J17" s="43"/>
      <c r="K17" s="33"/>
      <c r="L17" s="22"/>
      <c r="M17" s="22"/>
    </row>
    <row r="18" spans="1:13" ht="25.8" customHeight="1" x14ac:dyDescent="0.25">
      <c r="A18" s="22"/>
      <c r="B18" s="22"/>
      <c r="C18" s="32"/>
      <c r="D18" s="32"/>
      <c r="E18" s="32"/>
      <c r="F18" s="32"/>
      <c r="G18" s="36"/>
      <c r="I18" s="35"/>
      <c r="J18" s="43"/>
      <c r="K18" s="33"/>
      <c r="L18" s="22"/>
      <c r="M18" s="22"/>
    </row>
    <row r="19" spans="1:13" ht="25.8" customHeight="1" x14ac:dyDescent="0.25">
      <c r="A19" s="32"/>
      <c r="B19" s="32"/>
      <c r="C19" s="32"/>
      <c r="D19" s="32"/>
      <c r="E19" s="32"/>
      <c r="F19" s="32"/>
      <c r="G19" s="32"/>
      <c r="I19" s="35"/>
      <c r="J19" s="43"/>
      <c r="K19" s="33"/>
      <c r="L19" s="22"/>
      <c r="M19" s="22"/>
    </row>
    <row r="20" spans="1:13" ht="25.8" customHeight="1" x14ac:dyDescent="0.25">
      <c r="A20" s="32"/>
      <c r="B20" s="32"/>
      <c r="C20" s="32"/>
      <c r="D20" s="32"/>
      <c r="E20" s="32"/>
      <c r="F20" s="32"/>
      <c r="G20" s="32"/>
      <c r="I20" s="35"/>
      <c r="J20" s="43"/>
      <c r="K20" s="43"/>
      <c r="L20" s="22"/>
      <c r="M20" s="22"/>
    </row>
    <row r="21" spans="1:13" ht="25.8" customHeight="1" x14ac:dyDescent="0.25">
      <c r="A21" s="32"/>
      <c r="B21" s="32"/>
      <c r="C21" s="32"/>
      <c r="D21" s="32"/>
      <c r="E21" s="32"/>
      <c r="F21" s="32"/>
      <c r="G21" s="32"/>
      <c r="I21" s="35"/>
      <c r="J21" s="43"/>
      <c r="K21" s="43"/>
      <c r="L21" s="22"/>
      <c r="M21" s="22"/>
    </row>
    <row r="22" spans="1:13" ht="25.8" customHeight="1" x14ac:dyDescent="0.25">
      <c r="A22" s="32"/>
      <c r="B22" s="32"/>
      <c r="C22" s="32"/>
      <c r="D22" s="32"/>
      <c r="E22" s="32"/>
      <c r="F22" s="32"/>
      <c r="G22" s="32"/>
      <c r="I22" s="35"/>
      <c r="J22" s="43"/>
      <c r="K22" s="43"/>
      <c r="L22" s="22"/>
      <c r="M22" s="22"/>
    </row>
    <row r="23" spans="1:13" ht="25.8" customHeight="1" x14ac:dyDescent="0.25">
      <c r="A23" s="32"/>
      <c r="B23" s="32"/>
      <c r="C23" s="32"/>
      <c r="D23" s="32"/>
      <c r="E23" s="32"/>
      <c r="F23" s="32"/>
      <c r="G23" s="32"/>
      <c r="I23" s="35"/>
      <c r="J23" s="43"/>
      <c r="K23" s="43"/>
      <c r="L23" s="22"/>
      <c r="M23" s="22"/>
    </row>
    <row r="24" spans="1:13" ht="25.8" customHeight="1" x14ac:dyDescent="0.25">
      <c r="A24" s="32"/>
      <c r="B24" s="32"/>
      <c r="C24" s="32"/>
      <c r="D24" s="32"/>
      <c r="E24" s="32"/>
      <c r="F24" s="32"/>
      <c r="G24" s="32"/>
      <c r="I24" s="35"/>
      <c r="J24" s="43"/>
      <c r="K24" s="43"/>
      <c r="L24" s="22"/>
      <c r="M24" s="22"/>
    </row>
    <row r="25" spans="1:13" ht="25.8" customHeight="1" x14ac:dyDescent="0.25">
      <c r="A25" s="32"/>
      <c r="B25" s="32"/>
      <c r="C25" s="32"/>
      <c r="D25" s="32"/>
      <c r="E25" s="32"/>
      <c r="F25" s="32"/>
      <c r="G25" s="32"/>
      <c r="I25" s="35"/>
      <c r="J25" s="43"/>
      <c r="K25" s="43"/>
      <c r="L25" s="22"/>
      <c r="M25" s="22"/>
    </row>
    <row r="26" spans="1:13" ht="25.8" customHeight="1" x14ac:dyDescent="0.25">
      <c r="A26" s="21"/>
      <c r="B26" s="21"/>
      <c r="C26" s="21"/>
      <c r="D26" s="21"/>
      <c r="I26" s="35"/>
      <c r="J26" s="43"/>
      <c r="K26" s="43"/>
      <c r="L26" s="22"/>
      <c r="M26" s="22"/>
    </row>
    <row r="27" spans="1:13" ht="25.8" customHeight="1" x14ac:dyDescent="0.25">
      <c r="A27" s="21"/>
      <c r="B27" s="21"/>
      <c r="C27" s="21"/>
      <c r="D27" s="21"/>
      <c r="I27" s="35"/>
      <c r="J27" s="43"/>
      <c r="K27" s="43"/>
      <c r="L27" s="22"/>
      <c r="M27" s="22"/>
    </row>
    <row r="28" spans="1:13" ht="25.8" customHeight="1" x14ac:dyDescent="0.25">
      <c r="A28" s="96" t="s">
        <v>52</v>
      </c>
      <c r="B28" s="97"/>
      <c r="C28" s="97"/>
      <c r="D28" s="97"/>
      <c r="E28" s="97"/>
      <c r="F28" s="97"/>
      <c r="G28" s="97"/>
      <c r="I28" s="35"/>
      <c r="J28" s="43"/>
      <c r="K28" s="43"/>
      <c r="L28" s="22"/>
      <c r="M28" s="22"/>
    </row>
    <row r="29" spans="1:13" ht="25.8" customHeight="1" x14ac:dyDescent="0.25">
      <c r="A29" s="55" t="s">
        <v>14</v>
      </c>
      <c r="B29" s="54" t="s">
        <v>53</v>
      </c>
      <c r="C29" s="54" t="s">
        <v>16</v>
      </c>
      <c r="D29" s="54" t="s">
        <v>17</v>
      </c>
      <c r="E29" s="53" t="s">
        <v>18</v>
      </c>
      <c r="F29" s="53" t="s">
        <v>19</v>
      </c>
      <c r="G29" s="53" t="s">
        <v>20</v>
      </c>
      <c r="I29" s="35"/>
      <c r="J29" s="43"/>
      <c r="K29" s="43"/>
      <c r="L29" s="22"/>
      <c r="M29" s="22"/>
    </row>
    <row r="30" spans="1:13" ht="25.8" customHeight="1" x14ac:dyDescent="0.25">
      <c r="A30" s="41">
        <v>1</v>
      </c>
      <c r="B30" s="52"/>
      <c r="C30" s="90">
        <v>5</v>
      </c>
      <c r="D30" s="50">
        <v>5</v>
      </c>
      <c r="E30" s="49" t="s">
        <v>123</v>
      </c>
      <c r="F30" s="48" t="s">
        <v>46</v>
      </c>
      <c r="G30" s="47"/>
      <c r="I30" s="35"/>
      <c r="J30" s="43"/>
      <c r="K30" s="43"/>
      <c r="L30" s="22"/>
      <c r="M30" s="22"/>
    </row>
    <row r="31" spans="1:13" ht="25.8" customHeight="1" x14ac:dyDescent="0.25">
      <c r="A31" s="41"/>
      <c r="B31" s="40"/>
      <c r="C31" s="22"/>
      <c r="D31" s="41"/>
      <c r="E31" s="46" t="s">
        <v>96</v>
      </c>
      <c r="F31" s="45"/>
      <c r="G31" s="44"/>
      <c r="I31" s="35"/>
      <c r="J31" s="43"/>
      <c r="K31" s="33"/>
      <c r="L31" s="22"/>
      <c r="M31" s="22"/>
    </row>
    <row r="32" spans="1:13" ht="25.8" customHeight="1" x14ac:dyDescent="0.25">
      <c r="A32" s="41"/>
      <c r="B32" s="40"/>
      <c r="C32" s="32"/>
      <c r="D32" s="32"/>
      <c r="E32" s="32"/>
      <c r="F32" s="39"/>
      <c r="G32" s="42"/>
      <c r="I32" s="35"/>
      <c r="J32" s="34"/>
      <c r="K32" s="33"/>
      <c r="L32" s="22"/>
      <c r="M32" s="22"/>
    </row>
    <row r="33" spans="1:18" ht="25.8" customHeight="1" x14ac:dyDescent="0.25">
      <c r="A33" s="41"/>
      <c r="B33" s="40"/>
      <c r="C33" s="32"/>
      <c r="D33" s="32"/>
      <c r="E33" s="32"/>
      <c r="F33" s="39"/>
      <c r="G33" s="29"/>
      <c r="I33" s="35"/>
      <c r="J33" s="34"/>
      <c r="K33" s="38"/>
      <c r="L33" s="22"/>
      <c r="M33" s="22"/>
    </row>
    <row r="34" spans="1:18" ht="25.8" customHeight="1" x14ac:dyDescent="0.25">
      <c r="A34" s="32"/>
      <c r="B34" s="32"/>
      <c r="C34" s="37"/>
      <c r="D34" s="37"/>
      <c r="E34" s="37"/>
      <c r="F34" s="32"/>
      <c r="G34" s="36"/>
      <c r="I34" s="35"/>
      <c r="J34" s="34"/>
      <c r="K34" s="33"/>
      <c r="L34" s="22"/>
      <c r="M34" s="22"/>
    </row>
    <row r="35" spans="1:18" ht="25.8" customHeight="1" x14ac:dyDescent="0.25">
      <c r="A35" s="32"/>
      <c r="B35" s="32"/>
      <c r="C35" s="32"/>
      <c r="D35" s="32"/>
      <c r="E35" s="32"/>
      <c r="F35" s="32"/>
      <c r="G35" s="32"/>
      <c r="I35" s="35"/>
      <c r="J35" s="34"/>
      <c r="K35" s="33"/>
      <c r="L35" s="22"/>
      <c r="M35" s="22"/>
    </row>
    <row r="36" spans="1:18" ht="25.8" customHeight="1" x14ac:dyDescent="0.25">
      <c r="A36" s="32"/>
      <c r="B36" s="32"/>
      <c r="C36" s="32"/>
      <c r="D36" s="32"/>
      <c r="E36" s="32"/>
      <c r="F36" s="32"/>
      <c r="G36" s="32"/>
      <c r="I36" s="35"/>
      <c r="J36" s="34"/>
      <c r="K36" s="33"/>
      <c r="L36" s="22"/>
      <c r="M36" s="22"/>
    </row>
    <row r="37" spans="1:18" ht="25.8" customHeight="1" x14ac:dyDescent="0.25">
      <c r="A37" s="32"/>
      <c r="B37" s="32"/>
      <c r="C37" s="32"/>
      <c r="D37" s="32"/>
      <c r="E37" s="32"/>
      <c r="F37" s="32"/>
      <c r="G37" s="32"/>
      <c r="K37" s="23" t="s">
        <v>63</v>
      </c>
      <c r="L37" s="22">
        <f>SUM(L2:L36)</f>
        <v>23</v>
      </c>
      <c r="M37" s="22">
        <f>SUM(M2:M36)</f>
        <v>0</v>
      </c>
    </row>
    <row r="38" spans="1:18" ht="25.8" customHeight="1" x14ac:dyDescent="0.25">
      <c r="A38" s="32"/>
      <c r="B38" s="32"/>
      <c r="C38" s="32"/>
      <c r="D38" s="32"/>
      <c r="E38" s="32"/>
      <c r="F38" s="32"/>
      <c r="G38" s="32"/>
    </row>
    <row r="39" spans="1:18" ht="25.8" customHeight="1" x14ac:dyDescent="0.25">
      <c r="A39" s="32"/>
      <c r="B39" s="32"/>
      <c r="C39" s="32"/>
      <c r="D39" s="32"/>
      <c r="E39" s="32"/>
      <c r="F39" s="32"/>
      <c r="G39" s="32"/>
    </row>
    <row r="40" spans="1:18" ht="25.8" customHeight="1" x14ac:dyDescent="0.25">
      <c r="A40" s="32"/>
      <c r="B40" s="32"/>
      <c r="C40" s="32"/>
      <c r="D40" s="32"/>
      <c r="E40" s="32"/>
      <c r="F40" s="32"/>
      <c r="G40" s="32"/>
    </row>
    <row r="41" spans="1:18" ht="25.8" customHeight="1" x14ac:dyDescent="0.25">
      <c r="A41" s="21"/>
      <c r="B41" s="21"/>
      <c r="C41" s="21"/>
      <c r="D41" s="21"/>
    </row>
    <row r="42" spans="1:18" ht="25.8" customHeight="1" x14ac:dyDescent="0.25">
      <c r="A42" s="21"/>
      <c r="B42" s="21"/>
      <c r="C42" s="21"/>
      <c r="D42" s="21"/>
      <c r="N42" s="31" t="s">
        <v>0</v>
      </c>
      <c r="O42" s="31" t="s">
        <v>1</v>
      </c>
      <c r="P42" s="31" t="s">
        <v>95</v>
      </c>
      <c r="Q42" s="31" t="s">
        <v>94</v>
      </c>
      <c r="R42" s="30" t="s">
        <v>93</v>
      </c>
    </row>
    <row r="43" spans="1:18" ht="25.8" customHeight="1" x14ac:dyDescent="0.25">
      <c r="A43" s="21"/>
      <c r="B43" s="21"/>
      <c r="C43" s="21"/>
      <c r="D43" s="21"/>
      <c r="N43" s="98">
        <v>1</v>
      </c>
      <c r="O43" s="25">
        <f>VLOOKUP(P43,$I$2:$L$36,4,FALSE)</f>
        <v>3</v>
      </c>
      <c r="P43" s="24" t="s">
        <v>92</v>
      </c>
      <c r="Q43" s="24" t="str">
        <f>VLOOKUP(P43,$I$2:$L$36,3,FALSE)</f>
        <v>nabil</v>
      </c>
      <c r="R43" s="101" t="e">
        <f>SUM(O43:O47)</f>
        <v>#N/A</v>
      </c>
    </row>
    <row r="44" spans="1:18" ht="25.8" customHeight="1" x14ac:dyDescent="0.25">
      <c r="A44" s="21"/>
      <c r="B44" s="21"/>
      <c r="C44" s="21"/>
      <c r="D44" s="21"/>
      <c r="N44" s="99"/>
      <c r="O44" s="25" t="e">
        <f t="shared" ref="O44:O68" si="0">VLOOKUP(P44,$I$3:$L$36,4,FALSE)</f>
        <v>#N/A</v>
      </c>
      <c r="P44" s="35" t="s">
        <v>112</v>
      </c>
      <c r="Q44" s="24" t="e">
        <f t="shared" ref="Q44:Q68" si="1">VLOOKUP(P44,$I$3:$L$36,3,FALSE)</f>
        <v>#N/A</v>
      </c>
      <c r="R44" s="101"/>
    </row>
    <row r="45" spans="1:18" ht="25.8" customHeight="1" x14ac:dyDescent="0.25">
      <c r="A45" s="21"/>
      <c r="B45" s="21"/>
      <c r="C45" s="21"/>
      <c r="D45" s="21"/>
      <c r="N45" s="99"/>
      <c r="O45" s="25" t="e">
        <f t="shared" si="0"/>
        <v>#N/A</v>
      </c>
      <c r="P45" s="35" t="s">
        <v>113</v>
      </c>
      <c r="Q45" s="24" t="e">
        <f t="shared" si="1"/>
        <v>#N/A</v>
      </c>
      <c r="R45" s="101"/>
    </row>
    <row r="46" spans="1:18" ht="25.8" customHeight="1" x14ac:dyDescent="0.25">
      <c r="A46" s="21"/>
      <c r="B46" s="21"/>
      <c r="C46" s="21"/>
      <c r="D46" s="21"/>
      <c r="N46" s="99"/>
      <c r="O46" s="25" t="e">
        <f t="shared" si="0"/>
        <v>#N/A</v>
      </c>
      <c r="P46" s="35" t="s">
        <v>114</v>
      </c>
      <c r="Q46" s="24" t="e">
        <f t="shared" si="1"/>
        <v>#N/A</v>
      </c>
      <c r="R46" s="101"/>
    </row>
    <row r="47" spans="1:18" ht="25.8" customHeight="1" x14ac:dyDescent="0.25">
      <c r="A47" s="21"/>
      <c r="B47" s="21"/>
      <c r="C47" s="21"/>
      <c r="D47" s="21"/>
      <c r="N47" s="99"/>
      <c r="O47" s="25" t="e">
        <f t="shared" si="0"/>
        <v>#N/A</v>
      </c>
      <c r="P47" s="35" t="s">
        <v>115</v>
      </c>
      <c r="Q47" s="24" t="e">
        <f t="shared" si="1"/>
        <v>#N/A</v>
      </c>
      <c r="R47" s="101"/>
    </row>
    <row r="48" spans="1:18" ht="25.8" customHeight="1" x14ac:dyDescent="0.25">
      <c r="A48" s="21"/>
      <c r="B48" s="21"/>
      <c r="C48" s="21"/>
      <c r="D48" s="21"/>
      <c r="N48" s="98">
        <v>2</v>
      </c>
      <c r="O48" s="25" t="e">
        <f t="shared" si="0"/>
        <v>#N/A</v>
      </c>
      <c r="P48" s="35" t="s">
        <v>117</v>
      </c>
      <c r="Q48" s="28" t="e">
        <f t="shared" si="1"/>
        <v>#N/A</v>
      </c>
      <c r="R48" s="103" t="e">
        <f>SUM(O48:O49)</f>
        <v>#N/A</v>
      </c>
    </row>
    <row r="49" spans="1:18" ht="25.8" customHeight="1" x14ac:dyDescent="0.25">
      <c r="A49" s="21"/>
      <c r="B49" s="21"/>
      <c r="C49" s="21"/>
      <c r="D49" s="21"/>
      <c r="N49" s="99"/>
      <c r="O49" s="25" t="e">
        <f t="shared" si="0"/>
        <v>#N/A</v>
      </c>
      <c r="P49" s="35" t="s">
        <v>117</v>
      </c>
      <c r="Q49" s="28" t="e">
        <f t="shared" si="1"/>
        <v>#N/A</v>
      </c>
      <c r="R49" s="103"/>
    </row>
    <row r="50" spans="1:18" ht="25.8" customHeight="1" x14ac:dyDescent="0.25">
      <c r="A50" s="21"/>
      <c r="B50" s="21"/>
      <c r="C50" s="21"/>
      <c r="D50" s="21"/>
      <c r="N50" s="92">
        <v>3</v>
      </c>
      <c r="O50" s="25" t="e">
        <f t="shared" si="0"/>
        <v>#N/A</v>
      </c>
      <c r="P50" s="24"/>
      <c r="Q50" s="24" t="e">
        <f t="shared" si="1"/>
        <v>#N/A</v>
      </c>
      <c r="R50" s="89">
        <v>0</v>
      </c>
    </row>
    <row r="51" spans="1:18" ht="25.8" customHeight="1" x14ac:dyDescent="0.25">
      <c r="A51" s="21"/>
      <c r="B51" s="21"/>
      <c r="C51" s="21"/>
      <c r="D51" s="21"/>
      <c r="N51" s="104">
        <v>4</v>
      </c>
      <c r="O51" s="25" t="e">
        <f t="shared" si="0"/>
        <v>#N/A</v>
      </c>
      <c r="P51" s="24"/>
      <c r="Q51" s="24" t="e">
        <f t="shared" si="1"/>
        <v>#N/A</v>
      </c>
      <c r="R51" s="106">
        <v>0</v>
      </c>
    </row>
    <row r="52" spans="1:18" ht="25.8" customHeight="1" x14ac:dyDescent="0.25">
      <c r="A52" s="21"/>
      <c r="B52" s="21"/>
      <c r="C52" s="21"/>
      <c r="D52" s="21"/>
      <c r="N52" s="105"/>
      <c r="O52" s="25" t="e">
        <f t="shared" si="0"/>
        <v>#N/A</v>
      </c>
      <c r="P52" s="24"/>
      <c r="Q52" s="24" t="e">
        <f t="shared" si="1"/>
        <v>#N/A</v>
      </c>
      <c r="R52" s="101"/>
    </row>
    <row r="53" spans="1:18" ht="25.8" customHeight="1" x14ac:dyDescent="0.25">
      <c r="A53" s="21"/>
      <c r="B53" s="21"/>
      <c r="C53" s="21"/>
      <c r="D53" s="21"/>
      <c r="N53" s="105"/>
      <c r="O53" s="25" t="e">
        <f t="shared" si="0"/>
        <v>#N/A</v>
      </c>
      <c r="P53" s="24"/>
      <c r="Q53" s="24" t="e">
        <f t="shared" si="1"/>
        <v>#N/A</v>
      </c>
      <c r="R53" s="101"/>
    </row>
    <row r="54" spans="1:18" ht="25.8" customHeight="1" x14ac:dyDescent="0.25">
      <c r="A54" s="21"/>
      <c r="B54" s="21"/>
      <c r="C54" s="21"/>
      <c r="D54" s="21"/>
      <c r="N54" s="105"/>
      <c r="O54" s="25" t="e">
        <f t="shared" si="0"/>
        <v>#N/A</v>
      </c>
      <c r="P54" s="24"/>
      <c r="Q54" s="24" t="e">
        <f t="shared" si="1"/>
        <v>#N/A</v>
      </c>
      <c r="R54" s="101"/>
    </row>
    <row r="55" spans="1:18" ht="25.8" customHeight="1" x14ac:dyDescent="0.25">
      <c r="A55" s="21"/>
      <c r="B55" s="21"/>
      <c r="C55" s="21"/>
      <c r="D55" s="21"/>
      <c r="N55" s="105"/>
      <c r="O55" s="25" t="e">
        <f t="shared" si="0"/>
        <v>#N/A</v>
      </c>
      <c r="P55" s="24"/>
      <c r="Q55" s="24" t="e">
        <f t="shared" si="1"/>
        <v>#N/A</v>
      </c>
      <c r="R55" s="101"/>
    </row>
    <row r="56" spans="1:18" ht="25.8" customHeight="1" x14ac:dyDescent="0.25">
      <c r="A56" s="21"/>
      <c r="B56" s="21"/>
      <c r="C56" s="21"/>
      <c r="D56" s="21"/>
      <c r="N56" s="105"/>
      <c r="O56" s="25" t="e">
        <f t="shared" si="0"/>
        <v>#N/A</v>
      </c>
      <c r="P56" s="24"/>
      <c r="Q56" s="24" t="e">
        <f t="shared" si="1"/>
        <v>#N/A</v>
      </c>
      <c r="R56" s="101"/>
    </row>
    <row r="57" spans="1:18" ht="25.8" customHeight="1" x14ac:dyDescent="0.25">
      <c r="A57" s="21"/>
      <c r="B57" s="21"/>
      <c r="C57" s="21"/>
      <c r="D57" s="21"/>
      <c r="N57" s="105"/>
      <c r="O57" s="25" t="e">
        <f t="shared" si="0"/>
        <v>#N/A</v>
      </c>
      <c r="P57" s="24"/>
      <c r="Q57" s="24" t="e">
        <f t="shared" si="1"/>
        <v>#N/A</v>
      </c>
      <c r="R57" s="101"/>
    </row>
    <row r="58" spans="1:18" ht="25.8" customHeight="1" x14ac:dyDescent="0.25">
      <c r="A58" s="21"/>
      <c r="B58" s="21"/>
      <c r="C58" s="21"/>
      <c r="D58" s="21"/>
      <c r="N58" s="105"/>
      <c r="O58" s="25" t="e">
        <f t="shared" si="0"/>
        <v>#N/A</v>
      </c>
      <c r="P58" s="24"/>
      <c r="Q58" s="24" t="e">
        <f t="shared" si="1"/>
        <v>#N/A</v>
      </c>
      <c r="R58" s="107"/>
    </row>
    <row r="59" spans="1:18" ht="25.8" customHeight="1" x14ac:dyDescent="0.25">
      <c r="A59" s="21"/>
      <c r="B59" s="21"/>
      <c r="C59" s="21"/>
      <c r="D59" s="21"/>
      <c r="N59" s="104">
        <v>5</v>
      </c>
      <c r="O59" s="25" t="e">
        <f t="shared" si="0"/>
        <v>#N/A</v>
      </c>
      <c r="P59" s="24"/>
      <c r="Q59" s="24" t="e">
        <f t="shared" si="1"/>
        <v>#N/A</v>
      </c>
      <c r="R59" s="106">
        <v>0</v>
      </c>
    </row>
    <row r="60" spans="1:18" ht="25.8" customHeight="1" x14ac:dyDescent="0.25">
      <c r="A60" s="21"/>
      <c r="B60" s="21"/>
      <c r="C60" s="21"/>
      <c r="D60" s="21"/>
      <c r="N60" s="105"/>
      <c r="O60" s="25" t="e">
        <f t="shared" si="0"/>
        <v>#N/A</v>
      </c>
      <c r="P60" s="24"/>
      <c r="Q60" s="24" t="e">
        <f t="shared" si="1"/>
        <v>#N/A</v>
      </c>
      <c r="R60" s="105"/>
    </row>
    <row r="61" spans="1:18" ht="25.8" customHeight="1" x14ac:dyDescent="0.25">
      <c r="A61" s="21"/>
      <c r="B61" s="21"/>
      <c r="C61" s="21"/>
      <c r="D61" s="21"/>
      <c r="N61" s="105"/>
      <c r="O61" s="25" t="e">
        <f t="shared" si="0"/>
        <v>#N/A</v>
      </c>
      <c r="P61" s="24"/>
      <c r="Q61" s="24" t="e">
        <f t="shared" si="1"/>
        <v>#N/A</v>
      </c>
      <c r="R61" s="105"/>
    </row>
    <row r="62" spans="1:18" ht="25.8" customHeight="1" x14ac:dyDescent="0.25">
      <c r="A62" s="21"/>
      <c r="B62" s="21"/>
      <c r="C62" s="21"/>
      <c r="D62" s="21"/>
      <c r="N62" s="105"/>
      <c r="O62" s="25" t="e">
        <f t="shared" si="0"/>
        <v>#N/A</v>
      </c>
      <c r="P62" s="24"/>
      <c r="Q62" s="24" t="e">
        <f t="shared" si="1"/>
        <v>#N/A</v>
      </c>
      <c r="R62" s="105"/>
    </row>
    <row r="63" spans="1:18" ht="25.8" customHeight="1" x14ac:dyDescent="0.25">
      <c r="A63" s="21"/>
      <c r="B63" s="21"/>
      <c r="C63" s="21"/>
      <c r="D63" s="21"/>
      <c r="N63" s="108"/>
      <c r="O63" s="25" t="e">
        <f t="shared" si="0"/>
        <v>#N/A</v>
      </c>
      <c r="P63" s="24"/>
      <c r="Q63" s="24" t="e">
        <f t="shared" si="1"/>
        <v>#N/A</v>
      </c>
      <c r="R63" s="108"/>
    </row>
    <row r="64" spans="1:18" ht="25.8" customHeight="1" x14ac:dyDescent="0.25">
      <c r="A64" s="21"/>
      <c r="B64" s="21"/>
      <c r="C64" s="21"/>
      <c r="D64" s="21"/>
      <c r="N64" s="104">
        <v>6</v>
      </c>
      <c r="O64" s="25" t="e">
        <f t="shared" si="0"/>
        <v>#N/A</v>
      </c>
      <c r="P64" s="35" t="s">
        <v>119</v>
      </c>
      <c r="Q64" s="24" t="e">
        <f t="shared" si="1"/>
        <v>#N/A</v>
      </c>
      <c r="R64" s="106" t="e">
        <f>SUM(O64:O68)</f>
        <v>#N/A</v>
      </c>
    </row>
    <row r="65" spans="1:18" ht="25.8" customHeight="1" x14ac:dyDescent="0.25">
      <c r="A65" s="21"/>
      <c r="B65" s="21"/>
      <c r="C65" s="21"/>
      <c r="D65" s="21"/>
      <c r="N65" s="105"/>
      <c r="O65" s="25" t="e">
        <f t="shared" si="0"/>
        <v>#N/A</v>
      </c>
      <c r="P65" s="35" t="s">
        <v>120</v>
      </c>
      <c r="Q65" s="24" t="e">
        <f t="shared" si="1"/>
        <v>#N/A</v>
      </c>
      <c r="R65" s="105"/>
    </row>
    <row r="66" spans="1:18" ht="25.8" customHeight="1" x14ac:dyDescent="0.25">
      <c r="A66" s="21"/>
      <c r="B66" s="21"/>
      <c r="C66" s="21"/>
      <c r="D66" s="21"/>
      <c r="N66" s="105"/>
      <c r="O66" s="25" t="e">
        <f t="shared" si="0"/>
        <v>#N/A</v>
      </c>
      <c r="P66" s="35" t="s">
        <v>121</v>
      </c>
      <c r="Q66" s="24" t="e">
        <f t="shared" si="1"/>
        <v>#N/A</v>
      </c>
      <c r="R66" s="105"/>
    </row>
    <row r="67" spans="1:18" ht="25.8" customHeight="1" x14ac:dyDescent="0.25">
      <c r="A67" s="21"/>
      <c r="B67" s="21"/>
      <c r="C67" s="21"/>
      <c r="D67" s="21"/>
      <c r="N67" s="105"/>
      <c r="O67" s="25" t="e">
        <f t="shared" si="0"/>
        <v>#N/A</v>
      </c>
      <c r="P67" s="35" t="s">
        <v>122</v>
      </c>
      <c r="Q67" s="24" t="e">
        <f t="shared" si="1"/>
        <v>#N/A</v>
      </c>
      <c r="R67" s="105"/>
    </row>
    <row r="68" spans="1:18" ht="25.8" customHeight="1" x14ac:dyDescent="0.25">
      <c r="A68" s="21"/>
      <c r="B68" s="21"/>
      <c r="C68" s="21"/>
      <c r="D68" s="21"/>
      <c r="N68" s="108"/>
      <c r="O68" s="25" t="e">
        <f t="shared" si="0"/>
        <v>#N/A</v>
      </c>
      <c r="P68" s="35" t="s">
        <v>116</v>
      </c>
      <c r="Q68" s="24" t="e">
        <f t="shared" si="1"/>
        <v>#N/A</v>
      </c>
      <c r="R68" s="108"/>
    </row>
    <row r="69" spans="1:18" ht="25.8" customHeight="1" x14ac:dyDescent="0.25">
      <c r="A69" s="21"/>
      <c r="B69" s="21"/>
      <c r="C69" s="21"/>
      <c r="D69" s="21"/>
      <c r="P69" s="24"/>
      <c r="Q69" s="23" t="s">
        <v>63</v>
      </c>
      <c r="R69" s="22" t="e">
        <f>SUM(R43:R68)</f>
        <v>#N/A</v>
      </c>
    </row>
    <row r="70" spans="1:18" ht="25.8" customHeight="1" x14ac:dyDescent="0.25">
      <c r="A70" s="21"/>
      <c r="B70" s="21"/>
      <c r="C70" s="21"/>
      <c r="D70" s="21"/>
    </row>
    <row r="71" spans="1:18" ht="25.8" customHeight="1" x14ac:dyDescent="0.25">
      <c r="A71" s="21"/>
      <c r="B71" s="21"/>
      <c r="C71" s="21"/>
      <c r="D71" s="21"/>
    </row>
    <row r="72" spans="1:18" ht="25.8" customHeight="1" x14ac:dyDescent="0.25">
      <c r="A72" s="21"/>
      <c r="B72" s="21"/>
      <c r="C72" s="21"/>
      <c r="D72" s="21"/>
    </row>
    <row r="73" spans="1:18" ht="25.8" customHeight="1" x14ac:dyDescent="0.25">
      <c r="A73" s="21"/>
      <c r="B73" s="21"/>
      <c r="C73" s="21"/>
      <c r="D73" s="21"/>
    </row>
    <row r="74" spans="1:18" ht="25.8" customHeight="1" x14ac:dyDescent="0.25">
      <c r="A74" s="21"/>
      <c r="B74" s="21"/>
      <c r="C74" s="21"/>
      <c r="D74" s="21"/>
    </row>
    <row r="75" spans="1:18" ht="25.8" customHeight="1" x14ac:dyDescent="0.25">
      <c r="A75" s="21"/>
      <c r="B75" s="21"/>
      <c r="C75" s="21"/>
      <c r="D75" s="21"/>
    </row>
    <row r="76" spans="1:18" ht="25.8" customHeight="1" x14ac:dyDescent="0.25">
      <c r="A76" s="21"/>
      <c r="B76" s="21"/>
      <c r="C76" s="21"/>
      <c r="D76" s="21"/>
    </row>
    <row r="77" spans="1:18" ht="25.8" customHeight="1" x14ac:dyDescent="0.25">
      <c r="A77" s="21"/>
      <c r="B77" s="21"/>
      <c r="C77" s="21"/>
      <c r="D77" s="21"/>
    </row>
    <row r="78" spans="1:18" ht="25.8" customHeight="1" x14ac:dyDescent="0.25">
      <c r="A78" s="21"/>
      <c r="B78" s="21"/>
      <c r="C78" s="21"/>
      <c r="D78" s="21"/>
    </row>
    <row r="79" spans="1:18" ht="25.8" customHeight="1" x14ac:dyDescent="0.25">
      <c r="A79" s="21"/>
      <c r="B79" s="21"/>
      <c r="C79" s="21"/>
      <c r="D79" s="21"/>
    </row>
    <row r="80" spans="1:18" ht="25.8" customHeight="1" x14ac:dyDescent="0.25">
      <c r="A80" s="21"/>
      <c r="B80" s="21"/>
      <c r="C80" s="21"/>
      <c r="D80" s="21"/>
    </row>
    <row r="81" spans="1:4" ht="25.8" customHeight="1" x14ac:dyDescent="0.25">
      <c r="A81" s="21"/>
      <c r="B81" s="21"/>
      <c r="C81" s="21"/>
      <c r="D81" s="21"/>
    </row>
    <row r="82" spans="1:4" ht="25.8" customHeight="1" x14ac:dyDescent="0.25">
      <c r="A82" s="21"/>
      <c r="B82" s="21"/>
      <c r="C82" s="21"/>
      <c r="D82" s="21"/>
    </row>
    <row r="83" spans="1:4" ht="25.8" customHeight="1" x14ac:dyDescent="0.25">
      <c r="A83" s="21"/>
      <c r="B83" s="21"/>
      <c r="C83" s="21"/>
      <c r="D83" s="21"/>
    </row>
    <row r="84" spans="1:4" ht="25.8" customHeight="1" x14ac:dyDescent="0.25">
      <c r="A84" s="21"/>
      <c r="B84" s="21"/>
      <c r="C84" s="21"/>
      <c r="D84" s="21"/>
    </row>
    <row r="85" spans="1:4" ht="25.8" customHeight="1" x14ac:dyDescent="0.25">
      <c r="A85" s="21"/>
      <c r="B85" s="21"/>
      <c r="C85" s="21"/>
      <c r="D85" s="21"/>
    </row>
    <row r="86" spans="1:4" ht="25.8" customHeight="1" x14ac:dyDescent="0.25">
      <c r="A86" s="21"/>
      <c r="B86" s="21"/>
      <c r="C86" s="21"/>
      <c r="D86" s="21"/>
    </row>
    <row r="87" spans="1:4" ht="25.8" customHeight="1" x14ac:dyDescent="0.25">
      <c r="A87" s="21"/>
      <c r="B87" s="21"/>
      <c r="C87" s="21"/>
      <c r="D87" s="21"/>
    </row>
    <row r="88" spans="1:4" ht="25.8" customHeight="1" x14ac:dyDescent="0.25">
      <c r="A88" s="21"/>
      <c r="B88" s="21"/>
      <c r="C88" s="21"/>
      <c r="D88" s="21"/>
    </row>
    <row r="89" spans="1:4" ht="25.8" customHeight="1" x14ac:dyDescent="0.25">
      <c r="A89" s="21"/>
      <c r="B89" s="21"/>
      <c r="C89" s="21"/>
      <c r="D89" s="21"/>
    </row>
    <row r="90" spans="1:4" ht="25.8" customHeight="1" x14ac:dyDescent="0.25">
      <c r="A90" s="21"/>
      <c r="B90" s="21"/>
      <c r="C90" s="21"/>
      <c r="D90" s="21"/>
    </row>
    <row r="91" spans="1:4" ht="25.8" customHeight="1" x14ac:dyDescent="0.25">
      <c r="A91" s="21"/>
      <c r="B91" s="21"/>
      <c r="C91" s="21"/>
      <c r="D91" s="21"/>
    </row>
    <row r="92" spans="1:4" ht="25.8" customHeight="1" x14ac:dyDescent="0.25">
      <c r="A92" s="21"/>
      <c r="B92" s="21"/>
      <c r="C92" s="21"/>
      <c r="D92" s="21"/>
    </row>
    <row r="93" spans="1:4" ht="25.8" customHeight="1" x14ac:dyDescent="0.25">
      <c r="A93" s="21"/>
      <c r="B93" s="21"/>
      <c r="C93" s="21"/>
      <c r="D93" s="21"/>
    </row>
    <row r="94" spans="1:4" ht="25.8" customHeight="1" x14ac:dyDescent="0.25">
      <c r="A94" s="21"/>
      <c r="B94" s="21"/>
      <c r="C94" s="21"/>
      <c r="D94" s="21"/>
    </row>
    <row r="95" spans="1:4" ht="25.8" customHeight="1" x14ac:dyDescent="0.25">
      <c r="A95" s="21"/>
      <c r="B95" s="21"/>
      <c r="C95" s="21"/>
      <c r="D95" s="21"/>
    </row>
    <row r="96" spans="1:4" ht="25.8" customHeight="1" x14ac:dyDescent="0.25">
      <c r="A96" s="21"/>
      <c r="B96" s="21"/>
      <c r="C96" s="21"/>
      <c r="D96" s="21"/>
    </row>
    <row r="97" spans="1:4" ht="25.8" customHeight="1" x14ac:dyDescent="0.25">
      <c r="A97" s="21"/>
      <c r="B97" s="21"/>
      <c r="C97" s="21"/>
      <c r="D97" s="21"/>
    </row>
    <row r="98" spans="1:4" ht="25.8" customHeight="1" x14ac:dyDescent="0.25">
      <c r="A98" s="21"/>
      <c r="B98" s="21"/>
      <c r="C98" s="21"/>
      <c r="D98" s="21"/>
    </row>
    <row r="99" spans="1:4" ht="25.8" customHeight="1" x14ac:dyDescent="0.25">
      <c r="A99" s="21"/>
      <c r="B99" s="21"/>
      <c r="C99" s="21"/>
      <c r="D99" s="21"/>
    </row>
    <row r="100" spans="1:4" ht="25.8" customHeight="1" x14ac:dyDescent="0.25">
      <c r="A100" s="21"/>
      <c r="B100" s="21"/>
      <c r="C100" s="21"/>
      <c r="D100" s="21"/>
    </row>
    <row r="101" spans="1:4" ht="25.8" customHeight="1" x14ac:dyDescent="0.25">
      <c r="A101" s="21"/>
      <c r="B101" s="21"/>
      <c r="C101" s="21"/>
      <c r="D101" s="21"/>
    </row>
    <row r="102" spans="1:4" ht="25.8" customHeight="1" x14ac:dyDescent="0.25">
      <c r="A102" s="21"/>
      <c r="B102" s="21"/>
      <c r="C102" s="21"/>
      <c r="D102" s="21"/>
    </row>
    <row r="103" spans="1:4" ht="25.8" customHeight="1" x14ac:dyDescent="0.25">
      <c r="A103" s="21"/>
      <c r="B103" s="21"/>
      <c r="C103" s="21"/>
      <c r="D103" s="21"/>
    </row>
    <row r="104" spans="1:4" ht="25.8" customHeight="1" x14ac:dyDescent="0.25">
      <c r="A104" s="21"/>
      <c r="B104" s="21"/>
      <c r="C104" s="21"/>
      <c r="D104" s="21"/>
    </row>
    <row r="105" spans="1:4" ht="25.8" customHeight="1" x14ac:dyDescent="0.25">
      <c r="A105" s="21"/>
      <c r="B105" s="21"/>
      <c r="C105" s="21"/>
      <c r="D105" s="21"/>
    </row>
    <row r="106" spans="1:4" ht="25.8" customHeight="1" x14ac:dyDescent="0.25">
      <c r="A106" s="21"/>
      <c r="B106" s="21"/>
      <c r="C106" s="21"/>
      <c r="D106" s="21"/>
    </row>
    <row r="107" spans="1:4" ht="25.8" customHeight="1" x14ac:dyDescent="0.25">
      <c r="A107" s="21"/>
      <c r="B107" s="21"/>
      <c r="C107" s="21"/>
      <c r="D107" s="21"/>
    </row>
    <row r="108" spans="1:4" ht="25.8" customHeight="1" x14ac:dyDescent="0.25">
      <c r="A108" s="21"/>
      <c r="B108" s="21"/>
      <c r="C108" s="21"/>
      <c r="D108" s="21"/>
    </row>
    <row r="109" spans="1:4" ht="25.8" customHeight="1" x14ac:dyDescent="0.25">
      <c r="A109" s="21"/>
      <c r="B109" s="21"/>
      <c r="C109" s="21"/>
      <c r="D109" s="21"/>
    </row>
    <row r="110" spans="1:4" ht="25.8" customHeight="1" x14ac:dyDescent="0.25">
      <c r="A110" s="21"/>
      <c r="B110" s="21"/>
      <c r="C110" s="21"/>
      <c r="D110" s="21"/>
    </row>
    <row r="111" spans="1:4" ht="25.8" customHeight="1" x14ac:dyDescent="0.25">
      <c r="A111" s="21"/>
      <c r="B111" s="21"/>
      <c r="C111" s="21"/>
      <c r="D111" s="21"/>
    </row>
    <row r="112" spans="1:4" ht="25.8" customHeight="1" x14ac:dyDescent="0.25">
      <c r="A112" s="21"/>
      <c r="B112" s="21"/>
      <c r="C112" s="21"/>
      <c r="D112" s="21"/>
    </row>
    <row r="113" spans="1:4" ht="25.8" customHeight="1" x14ac:dyDescent="0.25">
      <c r="A113" s="21"/>
      <c r="B113" s="21"/>
      <c r="C113" s="21"/>
      <c r="D113" s="21"/>
    </row>
    <row r="114" spans="1:4" ht="25.8" customHeight="1" x14ac:dyDescent="0.25">
      <c r="A114" s="21"/>
      <c r="B114" s="21"/>
      <c r="C114" s="21"/>
      <c r="D114" s="21"/>
    </row>
    <row r="115" spans="1:4" ht="25.8" customHeight="1" x14ac:dyDescent="0.25">
      <c r="A115" s="21"/>
      <c r="B115" s="21"/>
      <c r="C115" s="21"/>
      <c r="D115" s="21"/>
    </row>
    <row r="116" spans="1:4" ht="25.8" customHeight="1" x14ac:dyDescent="0.25">
      <c r="A116" s="21"/>
      <c r="B116" s="21"/>
      <c r="C116" s="21"/>
      <c r="D116" s="21"/>
    </row>
    <row r="117" spans="1:4" ht="25.8" customHeight="1" x14ac:dyDescent="0.25">
      <c r="A117" s="21"/>
      <c r="B117" s="21"/>
      <c r="C117" s="21"/>
      <c r="D117" s="21"/>
    </row>
    <row r="118" spans="1:4" ht="25.8" customHeight="1" x14ac:dyDescent="0.25">
      <c r="A118" s="21"/>
      <c r="B118" s="21"/>
      <c r="C118" s="21"/>
      <c r="D118" s="21"/>
    </row>
    <row r="119" spans="1:4" ht="25.8" customHeight="1" x14ac:dyDescent="0.25">
      <c r="A119" s="21"/>
      <c r="B119" s="21"/>
      <c r="C119" s="21"/>
      <c r="D119" s="21"/>
    </row>
    <row r="120" spans="1:4" ht="25.8" customHeight="1" x14ac:dyDescent="0.25">
      <c r="A120" s="21"/>
      <c r="B120" s="21"/>
      <c r="C120" s="21"/>
      <c r="D120" s="21"/>
    </row>
    <row r="121" spans="1:4" ht="25.8" customHeight="1" x14ac:dyDescent="0.25">
      <c r="A121" s="21"/>
      <c r="B121" s="21"/>
      <c r="C121" s="21"/>
      <c r="D121" s="21"/>
    </row>
    <row r="122" spans="1:4" ht="25.8" customHeight="1" x14ac:dyDescent="0.25">
      <c r="A122" s="21"/>
      <c r="B122" s="21"/>
      <c r="C122" s="21"/>
      <c r="D122" s="21"/>
    </row>
    <row r="123" spans="1:4" ht="25.8" customHeight="1" x14ac:dyDescent="0.25">
      <c r="A123" s="21"/>
      <c r="B123" s="21"/>
      <c r="C123" s="21"/>
      <c r="D123" s="21"/>
    </row>
    <row r="124" spans="1:4" ht="25.8" customHeight="1" x14ac:dyDescent="0.25">
      <c r="A124" s="21"/>
      <c r="B124" s="21"/>
      <c r="C124" s="21"/>
      <c r="D124" s="21"/>
    </row>
    <row r="125" spans="1:4" ht="25.8" customHeight="1" x14ac:dyDescent="0.25">
      <c r="A125" s="21"/>
      <c r="B125" s="21"/>
      <c r="C125" s="21"/>
      <c r="D125" s="21"/>
    </row>
    <row r="126" spans="1:4" ht="25.8" customHeight="1" x14ac:dyDescent="0.25">
      <c r="A126" s="21"/>
      <c r="B126" s="21"/>
      <c r="C126" s="21"/>
      <c r="D126" s="21"/>
    </row>
    <row r="127" spans="1:4" ht="25.8" customHeight="1" x14ac:dyDescent="0.25">
      <c r="A127" s="21"/>
      <c r="B127" s="21"/>
      <c r="C127" s="21"/>
      <c r="D127" s="21"/>
    </row>
    <row r="128" spans="1:4" ht="25.8" customHeight="1" x14ac:dyDescent="0.25">
      <c r="A128" s="21"/>
      <c r="B128" s="21"/>
      <c r="C128" s="21"/>
      <c r="D128" s="21"/>
    </row>
    <row r="129" spans="1:4" ht="25.8" customHeight="1" x14ac:dyDescent="0.25">
      <c r="A129" s="21"/>
      <c r="B129" s="21"/>
      <c r="C129" s="21"/>
      <c r="D129" s="21"/>
    </row>
    <row r="130" spans="1:4" ht="25.8" customHeight="1" x14ac:dyDescent="0.25">
      <c r="A130" s="21"/>
      <c r="B130" s="21"/>
      <c r="C130" s="21"/>
      <c r="D130" s="21"/>
    </row>
    <row r="131" spans="1:4" ht="25.8" customHeight="1" x14ac:dyDescent="0.25">
      <c r="A131" s="21"/>
      <c r="B131" s="21"/>
      <c r="C131" s="21"/>
      <c r="D131" s="21"/>
    </row>
    <row r="132" spans="1:4" ht="25.8" customHeight="1" x14ac:dyDescent="0.25">
      <c r="A132" s="21"/>
      <c r="B132" s="21"/>
      <c r="C132" s="21"/>
      <c r="D132" s="21"/>
    </row>
    <row r="133" spans="1:4" ht="25.8" customHeight="1" x14ac:dyDescent="0.25">
      <c r="A133" s="21"/>
      <c r="B133" s="21"/>
      <c r="C133" s="21"/>
      <c r="D133" s="21"/>
    </row>
    <row r="134" spans="1:4" ht="25.8" customHeight="1" x14ac:dyDescent="0.25">
      <c r="A134" s="21"/>
      <c r="B134" s="21"/>
      <c r="C134" s="21"/>
      <c r="D134" s="21"/>
    </row>
    <row r="135" spans="1:4" ht="25.8" customHeight="1" x14ac:dyDescent="0.25">
      <c r="A135" s="21"/>
      <c r="B135" s="21"/>
      <c r="C135" s="21"/>
      <c r="D135" s="21"/>
    </row>
    <row r="136" spans="1:4" ht="25.8" customHeight="1" x14ac:dyDescent="0.25">
      <c r="A136" s="21"/>
      <c r="B136" s="21"/>
      <c r="C136" s="21"/>
      <c r="D136" s="21"/>
    </row>
    <row r="137" spans="1:4" ht="25.8" customHeight="1" x14ac:dyDescent="0.25">
      <c r="A137" s="21"/>
      <c r="B137" s="21"/>
      <c r="C137" s="21"/>
      <c r="D137" s="21"/>
    </row>
    <row r="138" spans="1:4" ht="25.8" customHeight="1" x14ac:dyDescent="0.25">
      <c r="A138" s="21"/>
      <c r="B138" s="21"/>
      <c r="C138" s="21"/>
      <c r="D138" s="21"/>
    </row>
    <row r="139" spans="1:4" ht="25.8" customHeight="1" x14ac:dyDescent="0.25">
      <c r="A139" s="21"/>
      <c r="B139" s="21"/>
      <c r="C139" s="21"/>
      <c r="D139" s="21"/>
    </row>
    <row r="140" spans="1:4" ht="25.8" customHeight="1" x14ac:dyDescent="0.25">
      <c r="A140" s="21"/>
      <c r="B140" s="21"/>
      <c r="C140" s="21"/>
      <c r="D140" s="21"/>
    </row>
    <row r="141" spans="1:4" ht="25.8" customHeight="1" x14ac:dyDescent="0.25">
      <c r="A141" s="21"/>
      <c r="B141" s="21"/>
      <c r="C141" s="21"/>
      <c r="D141" s="21"/>
    </row>
    <row r="142" spans="1:4" ht="25.8" customHeight="1" x14ac:dyDescent="0.25">
      <c r="A142" s="21"/>
      <c r="B142" s="21"/>
      <c r="C142" s="21"/>
      <c r="D142" s="21"/>
    </row>
    <row r="143" spans="1:4" ht="25.8" customHeight="1" x14ac:dyDescent="0.25">
      <c r="A143" s="21"/>
      <c r="B143" s="21"/>
      <c r="C143" s="21"/>
      <c r="D143" s="21"/>
    </row>
    <row r="144" spans="1:4" ht="25.8" customHeight="1" x14ac:dyDescent="0.25">
      <c r="A144" s="21"/>
      <c r="B144" s="21"/>
      <c r="C144" s="21"/>
      <c r="D144" s="21"/>
    </row>
    <row r="145" spans="1:4" ht="25.8" customHeight="1" x14ac:dyDescent="0.25">
      <c r="A145" s="21"/>
      <c r="B145" s="21"/>
      <c r="C145" s="21"/>
      <c r="D145" s="21"/>
    </row>
    <row r="146" spans="1:4" ht="25.8" customHeight="1" x14ac:dyDescent="0.25">
      <c r="A146" s="21"/>
      <c r="B146" s="21"/>
      <c r="C146" s="21"/>
      <c r="D146" s="21"/>
    </row>
    <row r="147" spans="1:4" ht="25.8" customHeight="1" x14ac:dyDescent="0.25">
      <c r="A147" s="21"/>
      <c r="B147" s="21"/>
      <c r="C147" s="21"/>
      <c r="D147" s="21"/>
    </row>
    <row r="148" spans="1:4" ht="25.8" customHeight="1" x14ac:dyDescent="0.25">
      <c r="A148" s="21"/>
      <c r="B148" s="21"/>
      <c r="C148" s="21"/>
      <c r="D148" s="21"/>
    </row>
    <row r="149" spans="1:4" ht="25.8" customHeight="1" x14ac:dyDescent="0.25">
      <c r="A149" s="21"/>
      <c r="B149" s="21"/>
      <c r="C149" s="21"/>
      <c r="D149" s="21"/>
    </row>
    <row r="150" spans="1:4" ht="25.8" customHeight="1" x14ac:dyDescent="0.25">
      <c r="A150" s="21"/>
      <c r="B150" s="21"/>
      <c r="C150" s="21"/>
      <c r="D150" s="21"/>
    </row>
    <row r="151" spans="1:4" ht="25.8" customHeight="1" x14ac:dyDescent="0.25">
      <c r="A151" s="21"/>
      <c r="B151" s="21"/>
      <c r="C151" s="21"/>
      <c r="D151" s="21"/>
    </row>
    <row r="152" spans="1:4" ht="25.8" customHeight="1" x14ac:dyDescent="0.25">
      <c r="A152" s="21"/>
      <c r="B152" s="21"/>
      <c r="C152" s="21"/>
      <c r="D152" s="21"/>
    </row>
    <row r="153" spans="1:4" ht="25.8" customHeight="1" x14ac:dyDescent="0.25">
      <c r="A153" s="21"/>
      <c r="B153" s="21"/>
      <c r="C153" s="21"/>
      <c r="D153" s="21"/>
    </row>
    <row r="154" spans="1:4" ht="25.8" customHeight="1" x14ac:dyDescent="0.25">
      <c r="A154" s="21"/>
      <c r="B154" s="21"/>
      <c r="C154" s="21"/>
      <c r="D154" s="21"/>
    </row>
    <row r="155" spans="1:4" ht="25.8" customHeight="1" x14ac:dyDescent="0.25">
      <c r="A155" s="21"/>
      <c r="B155" s="21"/>
      <c r="C155" s="21"/>
      <c r="D155" s="21"/>
    </row>
    <row r="156" spans="1:4" ht="25.8" customHeight="1" x14ac:dyDescent="0.25">
      <c r="A156" s="21"/>
      <c r="B156" s="21"/>
      <c r="C156" s="21"/>
      <c r="D156" s="21"/>
    </row>
    <row r="157" spans="1:4" ht="25.8" customHeight="1" x14ac:dyDescent="0.25">
      <c r="A157" s="21"/>
      <c r="B157" s="21"/>
      <c r="C157" s="21"/>
      <c r="D157" s="21"/>
    </row>
    <row r="158" spans="1:4" ht="25.8" customHeight="1" x14ac:dyDescent="0.25">
      <c r="A158" s="21"/>
      <c r="B158" s="21"/>
      <c r="C158" s="21"/>
      <c r="D158" s="21"/>
    </row>
    <row r="159" spans="1:4" ht="25.8" customHeight="1" x14ac:dyDescent="0.25">
      <c r="A159" s="21"/>
      <c r="B159" s="21"/>
      <c r="C159" s="21"/>
      <c r="D159" s="21"/>
    </row>
    <row r="160" spans="1:4" ht="25.8" customHeight="1" x14ac:dyDescent="0.25">
      <c r="A160" s="21"/>
      <c r="B160" s="21"/>
      <c r="C160" s="21"/>
      <c r="D160" s="21"/>
    </row>
    <row r="161" spans="1:4" ht="25.8" customHeight="1" x14ac:dyDescent="0.25">
      <c r="A161" s="21"/>
      <c r="B161" s="21"/>
      <c r="C161" s="21"/>
      <c r="D161" s="21"/>
    </row>
    <row r="162" spans="1:4" ht="25.8" customHeight="1" x14ac:dyDescent="0.25">
      <c r="A162" s="21"/>
      <c r="B162" s="21"/>
      <c r="C162" s="21"/>
      <c r="D162" s="21"/>
    </row>
    <row r="163" spans="1:4" ht="25.8" customHeight="1" x14ac:dyDescent="0.25">
      <c r="A163" s="21"/>
      <c r="B163" s="21"/>
      <c r="C163" s="21"/>
      <c r="D163" s="21"/>
    </row>
    <row r="164" spans="1:4" ht="25.8" customHeight="1" x14ac:dyDescent="0.25">
      <c r="A164" s="21"/>
      <c r="B164" s="21"/>
      <c r="C164" s="21"/>
      <c r="D164" s="21"/>
    </row>
    <row r="165" spans="1:4" ht="25.8" customHeight="1" x14ac:dyDescent="0.25">
      <c r="A165" s="21"/>
      <c r="B165" s="21"/>
      <c r="C165" s="21"/>
      <c r="D165" s="21"/>
    </row>
    <row r="166" spans="1:4" ht="25.8" customHeight="1" x14ac:dyDescent="0.25">
      <c r="A166" s="21"/>
      <c r="B166" s="21"/>
      <c r="C166" s="21"/>
      <c r="D166" s="21"/>
    </row>
    <row r="167" spans="1:4" ht="25.8" customHeight="1" x14ac:dyDescent="0.25">
      <c r="A167" s="21"/>
      <c r="B167" s="21"/>
      <c r="C167" s="21"/>
      <c r="D167" s="21"/>
    </row>
    <row r="168" spans="1:4" ht="25.8" customHeight="1" x14ac:dyDescent="0.25">
      <c r="A168" s="21"/>
      <c r="B168" s="21"/>
      <c r="C168" s="21"/>
      <c r="D168" s="21"/>
    </row>
    <row r="169" spans="1:4" ht="25.8" customHeight="1" x14ac:dyDescent="0.25">
      <c r="A169" s="21"/>
      <c r="B169" s="21"/>
      <c r="C169" s="21"/>
      <c r="D169" s="21"/>
    </row>
    <row r="170" spans="1:4" ht="25.8" customHeight="1" x14ac:dyDescent="0.25">
      <c r="A170" s="21"/>
      <c r="B170" s="21"/>
      <c r="C170" s="21"/>
      <c r="D170" s="21"/>
    </row>
    <row r="171" spans="1:4" ht="25.8" customHeight="1" x14ac:dyDescent="0.25">
      <c r="A171" s="21"/>
      <c r="B171" s="21"/>
      <c r="C171" s="21"/>
      <c r="D171" s="21"/>
    </row>
    <row r="172" spans="1:4" ht="25.8" customHeight="1" x14ac:dyDescent="0.25">
      <c r="A172" s="21"/>
      <c r="B172" s="21"/>
      <c r="C172" s="21"/>
      <c r="D172" s="21"/>
    </row>
    <row r="173" spans="1:4" ht="25.8" customHeight="1" x14ac:dyDescent="0.25">
      <c r="A173" s="21"/>
      <c r="B173" s="21"/>
      <c r="C173" s="21"/>
      <c r="D173" s="21"/>
    </row>
    <row r="174" spans="1:4" ht="25.8" customHeight="1" x14ac:dyDescent="0.25">
      <c r="A174" s="21"/>
      <c r="B174" s="21"/>
      <c r="C174" s="21"/>
      <c r="D174" s="21"/>
    </row>
    <row r="175" spans="1:4" ht="25.8" customHeight="1" x14ac:dyDescent="0.25">
      <c r="A175" s="21"/>
      <c r="B175" s="21"/>
      <c r="C175" s="21"/>
      <c r="D175" s="21"/>
    </row>
    <row r="176" spans="1:4" ht="25.8" customHeight="1" x14ac:dyDescent="0.25">
      <c r="A176" s="21"/>
      <c r="B176" s="21"/>
      <c r="C176" s="21"/>
      <c r="D176" s="21"/>
    </row>
    <row r="177" spans="1:4" ht="25.8" customHeight="1" x14ac:dyDescent="0.25">
      <c r="A177" s="21"/>
      <c r="B177" s="21"/>
      <c r="C177" s="21"/>
      <c r="D177" s="21"/>
    </row>
    <row r="178" spans="1:4" ht="25.8" customHeight="1" x14ac:dyDescent="0.25">
      <c r="A178" s="21"/>
      <c r="B178" s="21"/>
      <c r="C178" s="21"/>
      <c r="D178" s="21"/>
    </row>
    <row r="179" spans="1:4" ht="25.8" customHeight="1" x14ac:dyDescent="0.25">
      <c r="A179" s="21"/>
      <c r="B179" s="21"/>
      <c r="C179" s="21"/>
      <c r="D179" s="21"/>
    </row>
    <row r="180" spans="1:4" ht="25.8" customHeight="1" x14ac:dyDescent="0.25">
      <c r="A180" s="21"/>
      <c r="B180" s="21"/>
      <c r="C180" s="21"/>
      <c r="D180" s="21"/>
    </row>
    <row r="181" spans="1:4" ht="25.8" customHeight="1" x14ac:dyDescent="0.25">
      <c r="A181" s="21"/>
      <c r="B181" s="21"/>
      <c r="C181" s="21"/>
      <c r="D181" s="21"/>
    </row>
    <row r="182" spans="1:4" ht="25.8" customHeight="1" x14ac:dyDescent="0.25">
      <c r="A182" s="21"/>
      <c r="B182" s="21"/>
      <c r="C182" s="21"/>
      <c r="D182" s="21"/>
    </row>
    <row r="183" spans="1:4" ht="25.8" customHeight="1" x14ac:dyDescent="0.25">
      <c r="A183" s="21"/>
      <c r="B183" s="21"/>
      <c r="C183" s="21"/>
      <c r="D183" s="21"/>
    </row>
    <row r="184" spans="1:4" ht="25.8" customHeight="1" x14ac:dyDescent="0.25">
      <c r="A184" s="21"/>
      <c r="B184" s="21"/>
      <c r="C184" s="21"/>
      <c r="D184" s="21"/>
    </row>
    <row r="185" spans="1:4" ht="25.8" customHeight="1" x14ac:dyDescent="0.25">
      <c r="A185" s="21"/>
      <c r="B185" s="21"/>
      <c r="C185" s="21"/>
      <c r="D185" s="21"/>
    </row>
    <row r="186" spans="1:4" ht="25.8" customHeight="1" x14ac:dyDescent="0.25">
      <c r="A186" s="21"/>
      <c r="B186" s="21"/>
      <c r="C186" s="21"/>
      <c r="D186" s="21"/>
    </row>
    <row r="187" spans="1:4" ht="25.8" customHeight="1" x14ac:dyDescent="0.25">
      <c r="A187" s="21"/>
      <c r="B187" s="21"/>
      <c r="C187" s="21"/>
      <c r="D187" s="21"/>
    </row>
    <row r="188" spans="1:4" ht="25.8" customHeight="1" x14ac:dyDescent="0.25">
      <c r="A188" s="21"/>
      <c r="B188" s="21"/>
      <c r="C188" s="21"/>
      <c r="D188" s="21"/>
    </row>
    <row r="189" spans="1:4" ht="25.8" customHeight="1" x14ac:dyDescent="0.25">
      <c r="A189" s="21"/>
      <c r="B189" s="21"/>
      <c r="C189" s="21"/>
      <c r="D189" s="21"/>
    </row>
    <row r="190" spans="1:4" ht="25.8" customHeight="1" x14ac:dyDescent="0.25">
      <c r="A190" s="21"/>
      <c r="B190" s="21"/>
      <c r="C190" s="21"/>
      <c r="D190" s="21"/>
    </row>
    <row r="191" spans="1:4" ht="25.8" customHeight="1" x14ac:dyDescent="0.25">
      <c r="A191" s="21"/>
      <c r="B191" s="21"/>
      <c r="C191" s="21"/>
      <c r="D191" s="21"/>
    </row>
    <row r="192" spans="1:4" ht="25.8" customHeight="1" x14ac:dyDescent="0.25">
      <c r="A192" s="21"/>
      <c r="B192" s="21"/>
      <c r="C192" s="21"/>
      <c r="D192" s="21"/>
    </row>
    <row r="193" spans="1:4" ht="25.8" customHeight="1" x14ac:dyDescent="0.25">
      <c r="A193" s="21"/>
      <c r="B193" s="21"/>
      <c r="C193" s="21"/>
      <c r="D193" s="21"/>
    </row>
    <row r="194" spans="1:4" ht="25.8" customHeight="1" x14ac:dyDescent="0.25">
      <c r="A194" s="21"/>
      <c r="B194" s="21"/>
      <c r="C194" s="21"/>
      <c r="D194" s="21"/>
    </row>
    <row r="195" spans="1:4" ht="25.8" customHeight="1" x14ac:dyDescent="0.25">
      <c r="A195" s="21"/>
      <c r="B195" s="21"/>
      <c r="C195" s="21"/>
      <c r="D195" s="21"/>
    </row>
    <row r="196" spans="1:4" ht="25.8" customHeight="1" x14ac:dyDescent="0.25">
      <c r="A196" s="21"/>
      <c r="B196" s="21"/>
      <c r="C196" s="21"/>
      <c r="D196" s="21"/>
    </row>
    <row r="197" spans="1:4" ht="25.8" customHeight="1" x14ac:dyDescent="0.25">
      <c r="A197" s="21"/>
      <c r="B197" s="21"/>
      <c r="C197" s="21"/>
      <c r="D197" s="21"/>
    </row>
    <row r="198" spans="1:4" ht="25.8" customHeight="1" x14ac:dyDescent="0.25">
      <c r="A198" s="21"/>
      <c r="B198" s="21"/>
      <c r="C198" s="21"/>
      <c r="D198" s="21"/>
    </row>
    <row r="199" spans="1:4" ht="25.8" customHeight="1" x14ac:dyDescent="0.25">
      <c r="A199" s="21"/>
      <c r="B199" s="21"/>
      <c r="C199" s="21"/>
      <c r="D199" s="21"/>
    </row>
    <row r="200" spans="1:4" ht="25.8" customHeight="1" x14ac:dyDescent="0.25">
      <c r="A200" s="21"/>
      <c r="B200" s="21"/>
      <c r="C200" s="21"/>
      <c r="D200" s="21"/>
    </row>
    <row r="201" spans="1:4" ht="25.8" customHeight="1" x14ac:dyDescent="0.25">
      <c r="A201" s="21"/>
      <c r="B201" s="21"/>
      <c r="C201" s="21"/>
      <c r="D201" s="21"/>
    </row>
    <row r="202" spans="1:4" ht="25.8" customHeight="1" x14ac:dyDescent="0.25">
      <c r="A202" s="21"/>
      <c r="B202" s="21"/>
      <c r="C202" s="21"/>
      <c r="D202" s="21"/>
    </row>
    <row r="203" spans="1:4" ht="25.8" customHeight="1" x14ac:dyDescent="0.25">
      <c r="A203" s="21"/>
      <c r="B203" s="21"/>
      <c r="C203" s="21"/>
      <c r="D203" s="21"/>
    </row>
    <row r="204" spans="1:4" ht="25.8" customHeight="1" x14ac:dyDescent="0.25">
      <c r="A204" s="21"/>
      <c r="B204" s="21"/>
      <c r="C204" s="21"/>
      <c r="D204" s="21"/>
    </row>
    <row r="205" spans="1:4" ht="25.8" customHeight="1" x14ac:dyDescent="0.25">
      <c r="A205" s="21"/>
      <c r="B205" s="21"/>
      <c r="C205" s="21"/>
      <c r="D205" s="21"/>
    </row>
    <row r="206" spans="1:4" ht="25.8" customHeight="1" x14ac:dyDescent="0.25">
      <c r="A206" s="21"/>
      <c r="B206" s="21"/>
      <c r="C206" s="21"/>
      <c r="D206" s="21"/>
    </row>
    <row r="207" spans="1:4" ht="25.8" customHeight="1" x14ac:dyDescent="0.25">
      <c r="A207" s="21"/>
      <c r="B207" s="21"/>
      <c r="C207" s="21"/>
      <c r="D207" s="21"/>
    </row>
    <row r="208" spans="1:4" ht="25.8" customHeight="1" x14ac:dyDescent="0.25">
      <c r="A208" s="21"/>
      <c r="B208" s="21"/>
      <c r="C208" s="21"/>
      <c r="D208" s="21"/>
    </row>
    <row r="209" spans="1:4" ht="25.8" customHeight="1" x14ac:dyDescent="0.25">
      <c r="A209" s="21"/>
      <c r="B209" s="21"/>
      <c r="C209" s="21"/>
      <c r="D209" s="21"/>
    </row>
    <row r="210" spans="1:4" ht="25.8" customHeight="1" x14ac:dyDescent="0.25">
      <c r="A210" s="21"/>
      <c r="B210" s="21"/>
      <c r="C210" s="21"/>
      <c r="D210" s="21"/>
    </row>
    <row r="211" spans="1:4" ht="25.8" customHeight="1" x14ac:dyDescent="0.25">
      <c r="A211" s="21"/>
      <c r="B211" s="21"/>
      <c r="C211" s="21"/>
      <c r="D211" s="21"/>
    </row>
    <row r="212" spans="1:4" ht="25.8" customHeight="1" x14ac:dyDescent="0.25">
      <c r="A212" s="21"/>
      <c r="B212" s="21"/>
      <c r="C212" s="21"/>
      <c r="D212" s="21"/>
    </row>
    <row r="213" spans="1:4" ht="25.8" customHeight="1" x14ac:dyDescent="0.25">
      <c r="A213" s="21"/>
      <c r="B213" s="21"/>
      <c r="C213" s="21"/>
      <c r="D213" s="21"/>
    </row>
    <row r="214" spans="1:4" ht="25.8" customHeight="1" x14ac:dyDescent="0.25">
      <c r="A214" s="21"/>
      <c r="B214" s="21"/>
      <c r="C214" s="21"/>
      <c r="D214" s="21"/>
    </row>
    <row r="215" spans="1:4" ht="25.8" customHeight="1" x14ac:dyDescent="0.25">
      <c r="A215" s="21"/>
      <c r="B215" s="21"/>
      <c r="C215" s="21"/>
      <c r="D215" s="21"/>
    </row>
    <row r="216" spans="1:4" ht="25.8" customHeight="1" x14ac:dyDescent="0.25">
      <c r="A216" s="21"/>
      <c r="B216" s="21"/>
      <c r="C216" s="21"/>
      <c r="D216" s="21"/>
    </row>
    <row r="217" spans="1:4" ht="25.8" customHeight="1" x14ac:dyDescent="0.25">
      <c r="A217" s="21"/>
      <c r="B217" s="21"/>
      <c r="C217" s="21"/>
      <c r="D217" s="21"/>
    </row>
    <row r="218" spans="1:4" ht="25.8" customHeight="1" x14ac:dyDescent="0.25">
      <c r="A218" s="21"/>
      <c r="B218" s="21"/>
      <c r="C218" s="21"/>
      <c r="D218" s="21"/>
    </row>
    <row r="219" spans="1:4" ht="25.8" customHeight="1" x14ac:dyDescent="0.25">
      <c r="A219" s="21"/>
      <c r="B219" s="21"/>
      <c r="C219" s="21"/>
      <c r="D219" s="21"/>
    </row>
    <row r="220" spans="1:4" ht="25.8" customHeight="1" x14ac:dyDescent="0.25">
      <c r="A220" s="21"/>
      <c r="B220" s="21"/>
      <c r="C220" s="21"/>
      <c r="D220" s="21"/>
    </row>
    <row r="221" spans="1:4" ht="25.8" customHeight="1" x14ac:dyDescent="0.25">
      <c r="A221" s="21"/>
      <c r="B221" s="21"/>
      <c r="C221" s="21"/>
      <c r="D221" s="21"/>
    </row>
    <row r="222" spans="1:4" ht="25.8" customHeight="1" x14ac:dyDescent="0.25">
      <c r="A222" s="21"/>
      <c r="B222" s="21"/>
      <c r="C222" s="21"/>
      <c r="D222" s="21"/>
    </row>
    <row r="223" spans="1:4" ht="25.8" customHeight="1" x14ac:dyDescent="0.25">
      <c r="A223" s="21"/>
      <c r="B223" s="21"/>
      <c r="C223" s="21"/>
      <c r="D223" s="21"/>
    </row>
    <row r="224" spans="1:4" ht="25.8" customHeight="1" x14ac:dyDescent="0.25">
      <c r="A224" s="21"/>
      <c r="B224" s="21"/>
      <c r="C224" s="21"/>
      <c r="D224" s="21"/>
    </row>
    <row r="225" spans="1:4" ht="25.8" customHeight="1" x14ac:dyDescent="0.25">
      <c r="A225" s="21"/>
      <c r="B225" s="21"/>
      <c r="C225" s="21"/>
      <c r="D225" s="21"/>
    </row>
    <row r="226" spans="1:4" ht="25.8" customHeight="1" x14ac:dyDescent="0.25">
      <c r="A226" s="21"/>
      <c r="B226" s="21"/>
      <c r="C226" s="21"/>
      <c r="D226" s="21"/>
    </row>
    <row r="227" spans="1:4" ht="25.8" customHeight="1" x14ac:dyDescent="0.25">
      <c r="A227" s="21"/>
      <c r="B227" s="21"/>
      <c r="C227" s="21"/>
      <c r="D227" s="21"/>
    </row>
    <row r="228" spans="1:4" ht="25.8" customHeight="1" x14ac:dyDescent="0.25">
      <c r="A228" s="21"/>
      <c r="B228" s="21"/>
      <c r="C228" s="21"/>
      <c r="D228" s="21"/>
    </row>
  </sheetData>
  <mergeCells count="12">
    <mergeCell ref="N51:N58"/>
    <mergeCell ref="R51:R58"/>
    <mergeCell ref="N59:N63"/>
    <mergeCell ref="R59:R63"/>
    <mergeCell ref="N64:N68"/>
    <mergeCell ref="R64:R68"/>
    <mergeCell ref="A12:G12"/>
    <mergeCell ref="A28:G28"/>
    <mergeCell ref="N43:N47"/>
    <mergeCell ref="R43:R47"/>
    <mergeCell ref="N48:N49"/>
    <mergeCell ref="R48:R49"/>
  </mergeCells>
  <phoneticPr fontId="14" type="noConversion"/>
  <dataValidations count="1">
    <dataValidation type="list" allowBlank="1" showErrorMessage="1" sqref="F14:F25 F30:F40" xr:uid="{67546FD1-F383-41E0-BB8B-2F4BEECE4BCF}">
      <formula1>"Avoid,Mitigate,Accept"</formula1>
    </dataValidation>
  </dataValidations>
  <pageMargins left="0.7" right="0.7" top="0.75" bottom="0.75" header="0" footer="0"/>
  <pageSetup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Release#1</vt:lpstr>
      <vt:lpstr>Release#2</vt:lpstr>
      <vt:lpstr>Release#3</vt:lpstr>
      <vt:lpstr>Release#4</vt:lpstr>
      <vt:lpstr>Release#5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NV</cp:lastModifiedBy>
  <dcterms:modified xsi:type="dcterms:W3CDTF">2026-04-25T07:36:48Z</dcterms:modified>
</cp:coreProperties>
</file>